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dvagov-my.sharepoint.com/personal/javier_correaochoa_va_gov/Documents/My Documents/LEASES/WPB - Vero Beach Primary Care Clinic/RLP PACKAGE/"/>
    </mc:Choice>
  </mc:AlternateContent>
  <xr:revisionPtr revIDLastSave="6" documentId="13_ncr:1_{6BE505BC-CD60-4A32-9225-3D177A211B7E}" xr6:coauthVersionLast="47" xr6:coauthVersionMax="47" xr10:uidLastSave="{FF8F8DA5-D21E-4821-A96B-7C55773451C4}"/>
  <bookViews>
    <workbookView xWindow="19090" yWindow="-70" windowWidth="19420" windowHeight="10300" xr2:uid="{00000000-000D-0000-FFFF-FFFF00000000}"/>
  </bookViews>
  <sheets>
    <sheet name="Security Unit Costs" sheetId="1" r:id="rId1"/>
  </sheets>
  <definedNames>
    <definedName name="_xlnm.Print_Area" localSheetId="0">'Security Unit Costs'!$A$1:$E$76</definedName>
    <definedName name="Z_409DB1F8_ED81_4FF2_9A96_44804E66EF63_.wvu.PrintArea" localSheetId="0" hidden="1">'Security Unit Costs'!$A$3:$E$77</definedName>
    <definedName name="Z_409DB1F8_ED81_4FF2_9A96_44804E66EF63_.wvu.Rows" localSheetId="0" hidden="1">'Security Unit Costs'!$1:$1</definedName>
    <definedName name="Z_7D3A50F5_FAD0_4253_BBF2_1C46BA009D37_.wvu.PrintArea" localSheetId="0" hidden="1">'Security Unit Costs'!$A$3:$E$77</definedName>
    <definedName name="Z_7D3A50F5_FAD0_4253_BBF2_1C46BA009D37_.wvu.Rows" localSheetId="0" hidden="1">'Security Unit Costs'!$1:$1</definedName>
    <definedName name="Z_E3A1D301_E939_462A_8971_1F50908CD89F_.wvu.PrintArea" localSheetId="0" hidden="1">'Security Unit Costs'!$A$3:$E$77</definedName>
    <definedName name="Z_E3A1D301_E939_462A_8971_1F50908CD89F_.wvu.Rows" localSheetId="0" hidden="1">'Security Unit Costs'!$1:$1</definedName>
  </definedNames>
  <calcPr calcId="191029"/>
  <customWorkbookViews>
    <customWorkbookView name="StevenTFreund - Personal View" guid="{409DB1F8-ED81-4FF2-9A96-44804E66EF63}" mergeInterval="0" personalView="1" xWindow="172" yWindow="14" windowWidth="1920" windowHeight="855" activeSheetId="1"/>
    <customWorkbookView name="alexandraakosmides - Personal View" guid="{E3A1D301-E939-462A-8971-1F50908CD89F}" mergeInterval="0" personalView="1" maximized="1" xWindow="-11" yWindow="-11" windowWidth="1942" windowHeight="1042" activeSheetId="1"/>
    <customWorkbookView name="Julie K Hepp - Personal View" guid="{7D3A50F5-FAD0-4253-BBF2-1C46BA009D37}" mergeInterval="0" personalView="1" maximized="1" xWindow="-11" yWindow="-11" windowWidth="1942" windowHeight="104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 l="1"/>
  <c r="E76" i="1" s="1"/>
  <c r="E63" i="1" l="1"/>
  <c r="E24" i="1" l="1"/>
  <c r="E25" i="1"/>
  <c r="E45" i="1"/>
  <c r="E48" i="1"/>
  <c r="E52" i="1"/>
  <c r="E56" i="1"/>
  <c r="E59" i="1"/>
  <c r="E67" i="1"/>
</calcChain>
</file>

<file path=xl/sharedStrings.xml><?xml version="1.0" encoding="utf-8"?>
<sst xmlns="http://schemas.openxmlformats.org/spreadsheetml/2006/main" count="124" uniqueCount="82">
  <si>
    <t>Unit Price</t>
  </si>
  <si>
    <t>Quantity</t>
  </si>
  <si>
    <t>Total</t>
  </si>
  <si>
    <t>[INSERT CLIENT NAME]</t>
  </si>
  <si>
    <t>[INSERT DATE]</t>
  </si>
  <si>
    <t>SECURITY SYSTEMS</t>
  </si>
  <si>
    <t>SIGNAGE</t>
  </si>
  <si>
    <t>Lease Security Standards Section</t>
  </si>
  <si>
    <t>FACILITY ENTRANCES AND LOBBY</t>
  </si>
  <si>
    <t>COMMON AREAS, NON-PUBLIC, AND UTILITY AREAS</t>
  </si>
  <si>
    <t>INTRUSION DETECTION SYSTEM</t>
  </si>
  <si>
    <t>DURESS ALARM</t>
  </si>
  <si>
    <t>SECURITY UNIT PRICE LIST (FSL II)</t>
  </si>
  <si>
    <t>STRUCTURE</t>
  </si>
  <si>
    <t>OPERATIONS AND ADMINISTRATION</t>
  </si>
  <si>
    <t>TOTAL COSTS</t>
  </si>
  <si>
    <r>
      <rPr>
        <b/>
        <sz val="10"/>
        <color theme="4" tint="-0.249977111117893"/>
        <rFont val="Arial"/>
        <family val="2"/>
      </rPr>
      <t>INSTRUCTIONS TO THE LEASING SPECIALISTS</t>
    </r>
    <r>
      <rPr>
        <sz val="10"/>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</si>
  <si>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PARKING</t>
  </si>
  <si>
    <t>VIDEO SURVEILLANCE SYSTEM (VSS)</t>
  </si>
  <si>
    <t>WINDOWS</t>
  </si>
  <si>
    <t>BUILDING SYSTEMS</t>
  </si>
  <si>
    <t>SECURE AIR INTAKE GRILLES</t>
  </si>
  <si>
    <t>I.</t>
  </si>
  <si>
    <t>II.</t>
  </si>
  <si>
    <t>III.</t>
  </si>
  <si>
    <t>IV.</t>
  </si>
  <si>
    <t>V.</t>
  </si>
  <si>
    <t>A.</t>
  </si>
  <si>
    <t>B.</t>
  </si>
  <si>
    <t>C.</t>
  </si>
  <si>
    <t>1.</t>
  </si>
  <si>
    <t>2.</t>
  </si>
  <si>
    <t>3.</t>
  </si>
  <si>
    <t>VI.</t>
  </si>
  <si>
    <t>D.</t>
  </si>
  <si>
    <t>VII.</t>
  </si>
  <si>
    <t>SECURITY SYSTEMS DESIGN</t>
  </si>
  <si>
    <t>SITES AND EXTERIOR OF THE BUILDING</t>
  </si>
  <si>
    <t>4.</t>
  </si>
  <si>
    <t>SCREENING REQUIREMENTS</t>
  </si>
  <si>
    <t>B</t>
  </si>
  <si>
    <t>E.</t>
  </si>
  <si>
    <t>EMERGENCY GENERATOR PROTECTION (T.I.)</t>
  </si>
  <si>
    <t>CYBERSECURITY (SHELL *)</t>
  </si>
  <si>
    <t>PUBLIC SPACE RESTRICTIONS WITH PRIMARY VERTICAL LOAD MEMBERS</t>
  </si>
  <si>
    <t>4a.</t>
  </si>
  <si>
    <t>4b.</t>
  </si>
  <si>
    <t>FACILITY ENTRANCES, LOBBY, COMMON AREAS, NON-PUBLIC, AND UTILITY AREAS</t>
  </si>
  <si>
    <t>EMPLOYEE ACCESS CONTROL AT ENTRANCES (SHELL)</t>
  </si>
  <si>
    <t>PUBLIC RESTROOM ACCESS (SHELL)</t>
  </si>
  <si>
    <t>VISITOR ACCESS CONTROL (SHELL)</t>
  </si>
  <si>
    <t>INTERIOR (GOVERNMENT SPACE)</t>
  </si>
  <si>
    <t>IDENTITY VERIFICATION (SHELL)</t>
  </si>
  <si>
    <t>FORMAL KEY CONTROL PROGRAM (SHELL)</t>
  </si>
  <si>
    <t>POSTING OF SIGNAGE IDENTIFYING THE SPACE AS GOVERNMENTAL (SHELL)</t>
  </si>
  <si>
    <t>POSTING OF REGULATORY SIGNAGE (SHELL)</t>
  </si>
  <si>
    <t>LANDSCAPING AND ENTRANCES</t>
  </si>
  <si>
    <t>LANDSCAPING REQUIREMENTS (SHELL)</t>
  </si>
  <si>
    <t>HAZMAT STORAGE (SHELL)</t>
  </si>
  <si>
    <t>PLACEMENT OF RECEPTACLES, CONTAINERS, AND MAILBOXES (SHELL)</t>
  </si>
  <si>
    <t>FACILITY SECURITY COMMITTEE (FSC) - (SHELL *)</t>
  </si>
  <si>
    <t>ACCESS TO BUILDING INFORMATION (SHELL *)</t>
  </si>
  <si>
    <t>ACCOMODATION OF RETAIL/MIXED USE SPACE (SHELL)</t>
  </si>
  <si>
    <t>SECURING CRITICAL AREAS  (SHELL)</t>
  </si>
  <si>
    <t>PUBLIC ACCESS TO GOVERNMENT PARKING AREAS (SHELL)</t>
  </si>
  <si>
    <t>RESTRICT CONTACT FROM PUBLIC AREAS  WITH PRIMARY VERTICAL LOAD MEMBERS</t>
  </si>
  <si>
    <t>RESTRICT CONTACT FROM MAIL AREAS WITH PRIMARY VERTICAL LOAD MEMBERS</t>
  </si>
  <si>
    <t>CONSTRUCTION SECURITY PLAN  (SHELL)</t>
  </si>
  <si>
    <r>
      <rPr>
        <b/>
        <sz val="14"/>
        <color theme="4" tint="-0.249977111117893"/>
        <rFont val="Arial"/>
        <family val="2"/>
      </rPr>
      <t>INSTRUCTIONS TO THE LEASING SPECIALISTS:</t>
    </r>
    <r>
      <rPr>
        <sz val="14"/>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</si>
  <si>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SECURITY SYSTEM TESTING &amp; MAINTENANCE CRITERIA</t>
  </si>
  <si>
    <t>LOCK GROUND FLOOR WINDOWS (BSAC- IDS Monitoring)</t>
  </si>
  <si>
    <t>CYBERSECURITY REQUIREMENTS OUTLINED IN SECTIONS A-C  (SHELL *)</t>
  </si>
  <si>
    <t>Priced in Shell</t>
  </si>
  <si>
    <t>Government Provided</t>
  </si>
  <si>
    <t>Priced in Tenant Improvements</t>
  </si>
  <si>
    <t>LESSOR PROVIDED DESIGN AND INSTALLATION</t>
  </si>
  <si>
    <t>GOVERNMENT PROVIDED SCOPE, PRODUCT, AND INSTALLATION</t>
  </si>
  <si>
    <t xml:space="preserve">LESSOR PROVIDED DESIGN AND INSTALLATION </t>
  </si>
  <si>
    <t xml:space="preserve">GOVERNMENT PROVIDED SCOPE, PRODUCT, AND INSTALLATION </t>
  </si>
  <si>
    <t xml:space="preserve">The Security Unit Price List represents an estimate of the possible countermeasures outlined under the Security Requirements section of the lease.  The actual amount shall be determined before award.   Using this form, the Lessor shall quote unit prices on all security countermeasures identified in the Lease, as reflected in the final  Design Intent Drawings (DIDs) and Construction Documents (CDs).  </t>
  </si>
  <si>
    <t>RLP # 36C248-26-R-0042 – EXHIBIT L</t>
  </si>
  <si>
    <t>Vero Beach, 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</si>
</sst>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28" x14ac:knownFonts="1">
    <font>
      <sz val="10"/>
      <name val="Arial"/>
    </font>
    <font>
      <sz val="10"/>
      <name val="Arial"/>
      <family val="2"/>
    </font>
    <font>
      <sz val="8"/>
      <name val="Arial"/>
      <family val="2"/>
    </font>
    <font>
      <b/>
      <i/>
      <sz val="10"/>
      <name val="Arial"/>
      <family val="2"/>
    </font>
    <font>
      <sz val="11"/>
      <name val="Arial"/>
      <family val="2"/>
    </font>
    <font>
      <sz val="10"/>
      <color indexed="10"/>
      <name val="Arial"/>
      <family val="2"/>
    </font>
    <font>
      <b/>
      <sz val="10"/>
      <name val="Arial"/>
      <family val="2"/>
    </font>
    <font>
      <sz val="10"/>
      <name val="Arial"/>
      <family val="2"/>
    </font>
    <font>
      <sz val="8"/>
      <name val="Arial"/>
      <family val="2"/>
    </font>
    <font>
      <b/>
      <sz val="18"/>
      <name val="Arial"/>
      <family val="2"/>
    </font>
    <font>
      <sz val="12"/>
      <name val="Arial"/>
      <family val="2"/>
    </font>
    <font>
      <u/>
      <sz val="12"/>
      <name val="Arial"/>
      <family val="2"/>
    </font>
    <font>
      <b/>
      <sz val="14"/>
      <name val="Arial"/>
      <family val="2"/>
    </font>
    <font>
      <b/>
      <i/>
      <sz val="14"/>
      <name val="Arial"/>
      <family val="2"/>
    </font>
    <font>
      <sz val="11"/>
      <color rgb="FF000000"/>
      <name val="Arial"/>
      <family val="2"/>
    </font>
    <font>
      <sz val="11"/>
      <color rgb="FFFF0000"/>
      <name val="Arial"/>
      <family val="2"/>
    </font>
    <font>
      <b/>
      <sz val="12"/>
      <name val="Arial"/>
      <family val="2"/>
    </font>
    <font>
      <i/>
      <sz val="12"/>
      <name val="Arial"/>
      <family val="2"/>
    </font>
    <font>
      <b/>
      <sz val="10"/>
      <color theme="4" tint="-0.249977111117893"/>
      <name val="Arial"/>
      <family val="2"/>
    </font>
    <font>
      <sz val="10"/>
      <color theme="4" tint="-0.249977111117893"/>
      <name val="Arial"/>
      <family val="2"/>
    </font>
    <font>
      <sz val="14"/>
      <color theme="4" tint="-0.249977111117893"/>
      <name val="Arial"/>
      <family val="2"/>
    </font>
    <font>
      <sz val="14"/>
      <name val="Arial"/>
      <family val="2"/>
    </font>
    <font>
      <b/>
      <sz val="16"/>
      <name val="Arial"/>
      <family val="2"/>
    </font>
    <font>
      <sz val="16"/>
      <name val="Arial"/>
      <family val="2"/>
    </font>
    <font>
      <b/>
      <i/>
      <sz val="12"/>
      <name val="Arial"/>
      <family val="2"/>
    </font>
    <font>
      <b/>
      <sz val="12"/>
      <color theme="0"/>
      <name val="Arial"/>
      <family val="2"/>
    </font>
    <font>
      <b/>
      <sz val="14"/>
      <color theme="4" tint="-0.249977111117893"/>
      <name val="Arial"/>
      <family val="2"/>
    </font>
    <font>
      <u/>
      <sz val="11"/>
      <name val="Arial"/>
      <family val="2"/>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tint="0.249977111117893"/>
        <bgColor indexed="64"/>
      </patternFill>
    </fill>
    <fill>
      <patternFill patternType="solid">
        <fgColor rgb="FFFFFF99"/>
        <bgColor indexed="64"/>
      </patternFill>
    </fill>
    <fill>
      <patternFill patternType="solid">
        <fgColor theme="8" tint="0.79998168889431442"/>
        <bgColor indexed="64"/>
      </patternFill>
    </fill>
  </fills>
  <borders count="19">
    <border>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bottom style="thin">
        <color theme="0" tint="-0.24994659260841701"/>
      </bottom>
      <diagonal/>
    </border>
    <border>
      <left style="medium">
        <color indexed="64"/>
      </left>
      <right/>
      <top/>
      <bottom style="thin">
        <color theme="0" tint="-0.24994659260841701"/>
      </bottom>
      <diagonal/>
    </border>
    <border>
      <left/>
      <right style="medium">
        <color indexed="64"/>
      </right>
      <top/>
      <bottom style="thin">
        <color theme="0" tint="-0.24994659260841701"/>
      </bottom>
      <diagonal/>
    </border>
    <border>
      <left style="medium">
        <color indexed="64"/>
      </left>
      <right style="medium">
        <color indexed="64"/>
      </right>
      <top/>
      <bottom style="thin">
        <color theme="0" tint="-0.24994659260841701"/>
      </bottom>
      <diagonal/>
    </border>
    <border>
      <left style="medium">
        <color indexed="64"/>
      </left>
      <right style="medium">
        <color indexed="64"/>
      </right>
      <top style="thin">
        <color theme="0" tint="-0.24994659260841701"/>
      </top>
      <bottom/>
      <diagonal/>
    </border>
  </borders>
  <cellStyleXfs count="2">
    <xf numFmtId="0" fontId="0" fillId="0" borderId="0"/>
    <xf numFmtId="44" fontId="1" fillId="0" borderId="0" applyFont="0" applyFill="0" applyBorder="0" applyAlignment="0" applyProtection="0"/>
  </cellStyleXfs>
  <cellXfs count="98">
    <xf numFmtId="0" fontId="0" fillId="0" borderId="0" xfId="0"/>
    <xf numFmtId="0" fontId="5" fillId="0" borderId="0" xfId="0" applyFont="1"/>
    <xf numFmtId="0" fontId="9" fillId="0" borderId="0" xfId="0" applyFont="1" applyAlignment="1">
      <alignment horizontal="center" vertical="center"/>
    </xf>
    <xf numFmtId="0" fontId="4" fillId="0" borderId="0" xfId="0" applyFont="1" applyAlignment="1">
      <alignment horizontal="left" vertical="center" wrapText="1" indent="4"/>
    </xf>
    <xf numFmtId="0" fontId="11" fillId="0" borderId="0" xfId="0" applyFont="1" applyAlignment="1">
      <alignment horizontal="left" vertical="center" indent="2"/>
    </xf>
    <xf numFmtId="0" fontId="7" fillId="0" borderId="0" xfId="0" applyFont="1" applyAlignment="1">
      <alignment horizontal="left" wrapText="1" indent="2"/>
    </xf>
    <xf numFmtId="0" fontId="11" fillId="0" borderId="0" xfId="0" applyFont="1" applyAlignment="1">
      <alignment horizontal="left" vertical="center" wrapText="1" indent="2"/>
    </xf>
    <xf numFmtId="0" fontId="1" fillId="0" borderId="0" xfId="0" applyFont="1" applyAlignment="1">
      <alignment horizontal="left" wrapText="1" indent="2"/>
    </xf>
    <xf numFmtId="44" fontId="0" fillId="0" borderId="0" xfId="1" applyFont="1" applyFill="1"/>
    <xf numFmtId="3" fontId="0" fillId="0" borderId="0" xfId="0" applyNumberFormat="1"/>
    <xf numFmtId="0" fontId="10" fillId="0" borderId="0" xfId="0" applyFont="1" applyAlignment="1">
      <alignment horizontal="left" vertical="center" wrapText="1"/>
    </xf>
    <xf numFmtId="0" fontId="7" fillId="0" borderId="0" xfId="0" applyFont="1" applyAlignment="1">
      <alignment horizontal="left" indent="4"/>
    </xf>
    <xf numFmtId="0" fontId="1" fillId="0" borderId="0" xfId="0" applyFont="1"/>
    <xf numFmtId="0" fontId="15" fillId="0" borderId="0" xfId="0" applyFont="1" applyAlignment="1">
      <alignment horizontal="left" vertical="center" wrapText="1" indent="4"/>
    </xf>
    <xf numFmtId="0" fontId="23" fillId="0" borderId="0" xfId="0" applyFont="1" applyAlignment="1">
      <alignment vertical="center"/>
    </xf>
    <xf numFmtId="0" fontId="2" fillId="0" borderId="0" xfId="0" applyFont="1" applyAlignment="1">
      <alignment horizontal="left" vertical="center" wrapText="1"/>
    </xf>
    <xf numFmtId="0" fontId="23" fillId="0" borderId="0" xfId="0" applyFont="1"/>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horizontal="lef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horizontal="left" wrapText="1"/>
    </xf>
    <xf numFmtId="44" fontId="3" fillId="0" borderId="0" xfId="1" applyFont="1" applyFill="1" applyBorder="1" applyAlignment="1">
      <alignment horizontal="center" vertical="center"/>
    </xf>
    <xf numFmtId="0" fontId="4" fillId="0" borderId="0" xfId="0" applyFont="1" applyAlignment="1">
      <alignment horizontal="left" vertical="center" indent="4"/>
    </xf>
    <xf numFmtId="44" fontId="0" fillId="0" borderId="0" xfId="1" applyFont="1" applyFill="1" applyBorder="1"/>
    <xf numFmtId="44" fontId="16" fillId="0" borderId="5" xfId="1" applyFont="1" applyFill="1" applyBorder="1" applyAlignment="1">
      <alignment horizontal="center" vertical="center"/>
    </xf>
    <xf numFmtId="3" fontId="16" fillId="0" borderId="5" xfId="0" applyNumberFormat="1" applyFont="1" applyBorder="1" applyAlignment="1">
      <alignment horizontal="center" vertical="center"/>
    </xf>
    <xf numFmtId="44" fontId="24" fillId="0" borderId="5" xfId="1" applyFont="1" applyFill="1" applyBorder="1" applyAlignment="1">
      <alignment horizontal="center" vertical="center"/>
    </xf>
    <xf numFmtId="44" fontId="16" fillId="0" borderId="4" xfId="1" applyFont="1" applyFill="1" applyBorder="1" applyAlignment="1">
      <alignment horizontal="center" vertical="center"/>
    </xf>
    <xf numFmtId="3" fontId="16" fillId="0" borderId="4" xfId="0" applyNumberFormat="1" applyFont="1" applyBorder="1" applyAlignment="1">
      <alignment horizontal="center" vertical="center"/>
    </xf>
    <xf numFmtId="44" fontId="24" fillId="0" borderId="4" xfId="1" applyFont="1" applyFill="1" applyBorder="1" applyAlignment="1">
      <alignment horizontal="center" vertical="center"/>
    </xf>
    <xf numFmtId="44" fontId="16" fillId="0" borderId="5" xfId="1" applyFont="1" applyFill="1" applyBorder="1" applyAlignment="1">
      <alignment horizontal="center" vertical="center" wrapText="1"/>
    </xf>
    <xf numFmtId="44" fontId="16" fillId="0" borderId="5" xfId="1" applyFont="1" applyFill="1" applyBorder="1"/>
    <xf numFmtId="3" fontId="16" fillId="0" borderId="5" xfId="0" applyNumberFormat="1" applyFont="1" applyBorder="1"/>
    <xf numFmtId="0" fontId="12" fillId="2" borderId="3" xfId="0" applyFont="1" applyFill="1" applyBorder="1" applyAlignment="1">
      <alignment horizontal="left" vertical="center" wrapText="1"/>
    </xf>
    <xf numFmtId="164" fontId="22" fillId="2" borderId="7" xfId="0" applyNumberFormat="1" applyFont="1" applyFill="1" applyBorder="1" applyAlignment="1">
      <alignment horizontal="left" vertical="center"/>
    </xf>
    <xf numFmtId="0" fontId="13" fillId="2" borderId="6" xfId="0" applyFont="1" applyFill="1" applyBorder="1" applyAlignment="1">
      <alignment wrapText="1"/>
    </xf>
    <xf numFmtId="44" fontId="24" fillId="2" borderId="2" xfId="1" applyFont="1" applyFill="1" applyBorder="1" applyAlignment="1">
      <alignment horizontal="center" vertical="center"/>
    </xf>
    <xf numFmtId="3" fontId="24" fillId="2" borderId="2" xfId="0" applyNumberFormat="1" applyFont="1" applyFill="1" applyBorder="1" applyAlignment="1">
      <alignment horizontal="center" vertical="center"/>
    </xf>
    <xf numFmtId="44" fontId="10" fillId="0" borderId="0" xfId="1" applyFont="1" applyFill="1" applyBorder="1"/>
    <xf numFmtId="2" fontId="23" fillId="3" borderId="8" xfId="0" applyNumberFormat="1" applyFont="1" applyFill="1" applyBorder="1" applyAlignment="1">
      <alignment vertical="center"/>
    </xf>
    <xf numFmtId="0" fontId="3" fillId="3" borderId="0" xfId="0" applyFont="1" applyFill="1" applyAlignment="1">
      <alignment wrapText="1"/>
    </xf>
    <xf numFmtId="49" fontId="22" fillId="2" borderId="7" xfId="0" applyNumberFormat="1" applyFont="1" applyFill="1" applyBorder="1" applyAlignment="1">
      <alignment horizontal="left" vertical="center"/>
    </xf>
    <xf numFmtId="49" fontId="21" fillId="0" borderId="10" xfId="0" applyNumberFormat="1" applyFont="1" applyBorder="1" applyAlignment="1">
      <alignment horizontal="center" vertical="center"/>
    </xf>
    <xf numFmtId="49" fontId="10" fillId="0" borderId="10" xfId="0" applyNumberFormat="1" applyFont="1" applyBorder="1" applyAlignment="1">
      <alignment horizontal="right" vertical="center"/>
    </xf>
    <xf numFmtId="49" fontId="23" fillId="0" borderId="10" xfId="0" applyNumberFormat="1" applyFont="1" applyBorder="1" applyAlignment="1">
      <alignment vertical="center"/>
    </xf>
    <xf numFmtId="49" fontId="22" fillId="2" borderId="7" xfId="0" applyNumberFormat="1" applyFont="1" applyFill="1" applyBorder="1" applyAlignment="1">
      <alignment vertical="center"/>
    </xf>
    <xf numFmtId="0" fontId="7" fillId="0" borderId="0" xfId="0" applyFont="1" applyAlignment="1">
      <alignment horizontal="left" wrapText="1" indent="4"/>
    </xf>
    <xf numFmtId="0" fontId="4" fillId="0" borderId="0" xfId="0" applyFont="1" applyAlignment="1">
      <alignment horizontal="left" vertical="center" wrapText="1" indent="2"/>
    </xf>
    <xf numFmtId="0" fontId="23" fillId="5" borderId="7" xfId="0" applyFont="1" applyFill="1" applyBorder="1" applyAlignment="1">
      <alignment vertical="center"/>
    </xf>
    <xf numFmtId="0" fontId="12" fillId="5" borderId="3" xfId="0" applyFont="1" applyFill="1" applyBorder="1" applyAlignment="1">
      <alignment horizontal="right" vertical="center" wrapText="1" indent="5"/>
    </xf>
    <xf numFmtId="44" fontId="6" fillId="5" borderId="3" xfId="1" applyFont="1" applyFill="1" applyBorder="1"/>
    <xf numFmtId="44" fontId="6" fillId="5" borderId="3" xfId="1" applyFont="1" applyFill="1" applyBorder="1" applyAlignment="1">
      <alignment horizontal="fill"/>
    </xf>
    <xf numFmtId="44" fontId="12" fillId="5" borderId="6" xfId="1" applyFont="1" applyFill="1" applyBorder="1" applyAlignment="1">
      <alignment horizontal="fill"/>
    </xf>
    <xf numFmtId="0" fontId="12" fillId="2" borderId="6" xfId="0" applyFont="1" applyFill="1" applyBorder="1" applyAlignment="1">
      <alignment horizontal="left" vertical="center" wrapText="1"/>
    </xf>
    <xf numFmtId="0" fontId="4" fillId="6" borderId="12" xfId="0" applyFont="1" applyFill="1" applyBorder="1" applyAlignment="1">
      <alignment horizontal="left" vertical="center" wrapText="1" indent="4"/>
    </xf>
    <xf numFmtId="44" fontId="16" fillId="6" borderId="17" xfId="1" applyFont="1" applyFill="1" applyBorder="1" applyAlignment="1">
      <alignment horizontal="center" vertical="center" wrapText="1"/>
    </xf>
    <xf numFmtId="44" fontId="24" fillId="6" borderId="17" xfId="1" applyFont="1" applyFill="1" applyBorder="1" applyAlignment="1">
      <alignment horizontal="center" vertical="center"/>
    </xf>
    <xf numFmtId="44" fontId="16" fillId="6" borderId="13" xfId="1" applyFont="1" applyFill="1" applyBorder="1" applyAlignment="1">
      <alignment horizontal="center" vertical="center" wrapText="1"/>
    </xf>
    <xf numFmtId="44" fontId="24" fillId="6" borderId="13" xfId="1" applyFont="1" applyFill="1" applyBorder="1" applyAlignment="1">
      <alignment horizontal="center" vertical="center"/>
    </xf>
    <xf numFmtId="0" fontId="11" fillId="6" borderId="14" xfId="0" applyFont="1" applyFill="1" applyBorder="1" applyAlignment="1">
      <alignment horizontal="left" vertical="center" wrapText="1" indent="2"/>
    </xf>
    <xf numFmtId="44" fontId="16" fillId="6" borderId="13" xfId="1" applyFont="1" applyFill="1" applyBorder="1"/>
    <xf numFmtId="3" fontId="16" fillId="6" borderId="13" xfId="0" applyNumberFormat="1" applyFont="1" applyFill="1" applyBorder="1"/>
    <xf numFmtId="0" fontId="14" fillId="6" borderId="12" xfId="0" applyFont="1" applyFill="1" applyBorder="1" applyAlignment="1">
      <alignment horizontal="left" vertical="center" wrapText="1" indent="4"/>
    </xf>
    <xf numFmtId="0" fontId="27" fillId="6" borderId="12" xfId="0" applyFont="1" applyFill="1" applyBorder="1" applyAlignment="1">
      <alignment horizontal="left" vertical="center" wrapText="1" indent="2"/>
    </xf>
    <xf numFmtId="44" fontId="16" fillId="6" borderId="18" xfId="1" applyFont="1" applyFill="1" applyBorder="1"/>
    <xf numFmtId="3" fontId="16" fillId="6" borderId="18" xfId="0" applyNumberFormat="1" applyFont="1" applyFill="1" applyBorder="1"/>
    <xf numFmtId="44" fontId="24" fillId="6" borderId="18" xfId="1" applyFont="1" applyFill="1" applyBorder="1" applyAlignment="1">
      <alignment horizontal="center" vertical="center"/>
    </xf>
    <xf numFmtId="44" fontId="25" fillId="4" borderId="7" xfId="1" applyFont="1" applyFill="1" applyBorder="1" applyAlignment="1" applyProtection="1">
      <alignment vertical="center"/>
      <protection locked="0"/>
    </xf>
    <xf numFmtId="44" fontId="25" fillId="4" borderId="3" xfId="1" applyFont="1" applyFill="1" applyBorder="1" applyAlignment="1" applyProtection="1">
      <alignment vertical="center"/>
      <protection locked="0"/>
    </xf>
    <xf numFmtId="44" fontId="25" fillId="4" borderId="6" xfId="1" applyFont="1" applyFill="1" applyBorder="1" applyAlignment="1" applyProtection="1">
      <alignment vertical="center"/>
      <protection locked="0"/>
    </xf>
    <xf numFmtId="44" fontId="25" fillId="4" borderId="3" xfId="1" applyFont="1" applyFill="1" applyBorder="1" applyAlignment="1">
      <alignment vertical="center"/>
    </xf>
    <xf numFmtId="44" fontId="25" fillId="4" borderId="6" xfId="1" applyFont="1" applyFill="1" applyBorder="1" applyAlignment="1">
      <alignment vertical="center"/>
    </xf>
    <xf numFmtId="44" fontId="25" fillId="4" borderId="16" xfId="1" applyFont="1" applyFill="1" applyBorder="1" applyAlignment="1" applyProtection="1">
      <alignment vertical="center"/>
      <protection locked="0"/>
    </xf>
    <xf numFmtId="44" fontId="25" fillId="4" borderId="14" xfId="1" applyFont="1" applyFill="1" applyBorder="1" applyAlignment="1" applyProtection="1">
      <alignment horizontal="left" vertical="center"/>
      <protection locked="0"/>
    </xf>
    <xf numFmtId="44" fontId="25" fillId="4" borderId="15" xfId="1" applyFont="1" applyFill="1" applyBorder="1" applyAlignment="1" applyProtection="1">
      <alignment horizontal="left" vertical="center" indent="9"/>
      <protection locked="0"/>
    </xf>
    <xf numFmtId="44" fontId="25" fillId="4" borderId="7" xfId="1" applyFont="1" applyFill="1" applyBorder="1" applyAlignment="1">
      <alignment horizontal="left" vertical="center" indent="11"/>
    </xf>
    <xf numFmtId="0" fontId="19" fillId="0" borderId="0" xfId="0" applyFont="1" applyAlignment="1">
      <alignment vertical="top" wrapText="1"/>
    </xf>
    <xf numFmtId="0" fontId="0" fillId="0" borderId="0" xfId="0" applyAlignment="1">
      <alignment vertical="top" wrapText="1"/>
    </xf>
    <xf numFmtId="0" fontId="4"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7" fillId="0" borderId="10" xfId="0" applyFont="1" applyBorder="1" applyAlignment="1">
      <alignment horizontal="center" vertical="center"/>
    </xf>
    <xf numFmtId="0" fontId="17" fillId="0" borderId="0" xfId="0" applyFont="1" applyAlignment="1">
      <alignment horizontal="center" vertical="center"/>
    </xf>
    <xf numFmtId="0" fontId="17" fillId="0" borderId="11" xfId="0" applyFont="1" applyBorder="1" applyAlignment="1">
      <alignment horizontal="center" vertical="center"/>
    </xf>
    <xf numFmtId="0" fontId="9" fillId="2" borderId="8"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9" xfId="0" applyFont="1" applyFill="1" applyBorder="1" applyAlignment="1">
      <alignment horizontal="center" vertical="center"/>
    </xf>
    <xf numFmtId="0" fontId="1" fillId="0" borderId="0" xfId="0" applyFont="1" applyAlignment="1">
      <alignment vertical="center"/>
    </xf>
    <xf numFmtId="0" fontId="1" fillId="0" borderId="11" xfId="0" applyFont="1" applyBorder="1" applyAlignment="1">
      <alignment vertical="center"/>
    </xf>
    <xf numFmtId="0" fontId="20" fillId="0" borderId="0" xfId="0" applyFont="1" applyAlignment="1">
      <alignment vertical="top" wrapText="1"/>
    </xf>
    <xf numFmtId="0" fontId="21" fillId="0" borderId="0" xfId="0" applyFont="1" applyAlignment="1">
      <alignment vertical="top" wrapText="1"/>
    </xf>
  </cellXfs>
  <cellStyles count="2">
    <cellStyle name="Currency" xfId="1" builtinId="4"/>
    <cellStyle name="Normal" xfId="0" builtinId="0"/>
  </cellStyles>
  <dxfs count="0"/>
  <tableStyles count="0" defaultTableStyle="TableStyleMedium9" defaultPivotStyle="PivotStyleLight16"/>
  <colors>
    <mruColors>
      <color rgb="FFCC00FF"/>
      <color rgb="FFFFFF99"/>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4"/>
  <sheetViews>
    <sheetView tabSelected="1" topLeftCell="A2" zoomScaleNormal="100" zoomScaleSheetLayoutView="85" zoomScalePageLayoutView="80" workbookViewId="0">
      <selection activeCell="A6" sqref="A6:E6"/>
    </sheetView>
  </sheetViews>
  <sheetFormatPr defaultColWidth="9.1796875" defaultRowHeight="20" x14ac:dyDescent="0.4"/>
  <cols>
    <col min="1" max="1" width="5.54296875" style="16" customWidth="1"/>
    <col min="2" max="2" width="79.26953125" style="20" customWidth="1"/>
    <col min="3" max="3" width="21.7265625" style="8" customWidth="1"/>
    <col min="4" max="4" width="17" style="9" customWidth="1"/>
    <col min="5" max="5" width="29" style="8" customWidth="1"/>
  </cols>
  <sheetData>
    <row r="1" spans="1:6" ht="87" hidden="1" customHeight="1" x14ac:dyDescent="0.25">
      <c r="A1" s="78" t="s">
        <v>16</v>
      </c>
      <c r="B1" s="79"/>
      <c r="C1" s="79"/>
      <c r="D1" s="79"/>
      <c r="E1" s="79"/>
      <c r="F1" s="1"/>
    </row>
    <row r="2" spans="1:6" ht="86.5" customHeight="1" thickBot="1" x14ac:dyDescent="0.3">
      <c r="A2" s="96" t="s">
        <v>68</v>
      </c>
      <c r="B2" s="97"/>
      <c r="C2" s="97"/>
      <c r="D2" s="97"/>
      <c r="E2" s="97"/>
      <c r="F2" s="1"/>
    </row>
    <row r="3" spans="1:6" ht="30.75" customHeight="1" x14ac:dyDescent="0.25">
      <c r="A3" s="91" t="s">
        <v>12</v>
      </c>
      <c r="B3" s="92"/>
      <c r="C3" s="92"/>
      <c r="D3" s="92"/>
      <c r="E3" s="93"/>
      <c r="F3" s="2"/>
    </row>
    <row r="4" spans="1:6" ht="24.75" customHeight="1" x14ac:dyDescent="0.25">
      <c r="A4" s="83" t="s">
        <v>80</v>
      </c>
      <c r="B4" s="84"/>
      <c r="C4" s="84"/>
      <c r="D4" s="84"/>
      <c r="E4" s="85"/>
    </row>
    <row r="5" spans="1:6" ht="25" customHeight="1" x14ac:dyDescent="0.25">
      <c r="A5" s="83" t="s">
        <v>4</v>
      </c>
      <c r="B5" s="94"/>
      <c r="C5" s="94"/>
      <c r="D5" s="94"/>
      <c r="E5" s="95"/>
    </row>
    <row r="6" spans="1:6" ht="25" customHeight="1" x14ac:dyDescent="0.25">
      <c r="A6" s="83" t="s">
        <v>3</v>
      </c>
      <c r="B6" s="86"/>
      <c r="C6" s="86"/>
      <c r="D6" s="86"/>
      <c r="E6" s="87"/>
    </row>
    <row r="7" spans="1:6" ht="25" customHeight="1" x14ac:dyDescent="0.25">
      <c r="A7" s="83" t="s">
        <v>81</v>
      </c>
      <c r="B7" s="86"/>
      <c r="C7" s="86"/>
      <c r="D7" s="86"/>
      <c r="E7" s="87"/>
    </row>
    <row r="8" spans="1:6" ht="25" customHeight="1" x14ac:dyDescent="0.25">
      <c r="A8" s="88"/>
      <c r="B8" s="89"/>
      <c r="C8" s="89"/>
      <c r="D8" s="89"/>
      <c r="E8" s="90"/>
    </row>
    <row r="9" spans="1:6" ht="138.75" customHeight="1" thickBot="1" x14ac:dyDescent="0.3">
      <c r="A9" s="80" t="s">
        <v>79</v>
      </c>
      <c r="B9" s="81"/>
      <c r="C9" s="81"/>
      <c r="D9" s="81"/>
      <c r="E9" s="82"/>
    </row>
    <row r="10" spans="1:6" ht="20.149999999999999" customHeight="1" thickBot="1" x14ac:dyDescent="0.4">
      <c r="A10" s="36"/>
      <c r="B10" s="37" t="s">
        <v>7</v>
      </c>
      <c r="C10" s="38" t="s">
        <v>0</v>
      </c>
      <c r="D10" s="39" t="s">
        <v>1</v>
      </c>
      <c r="E10" s="38" t="s">
        <v>2</v>
      </c>
    </row>
    <row r="11" spans="1:6" ht="16.5" customHeight="1" thickBot="1" x14ac:dyDescent="0.35">
      <c r="A11" s="41"/>
      <c r="B11" s="42"/>
      <c r="C11" s="29"/>
      <c r="D11" s="30"/>
      <c r="E11" s="31"/>
    </row>
    <row r="12" spans="1:6" ht="34" customHeight="1" thickBot="1" x14ac:dyDescent="0.3">
      <c r="A12" s="43" t="s">
        <v>22</v>
      </c>
      <c r="B12" s="35" t="s">
        <v>47</v>
      </c>
      <c r="C12" s="26"/>
      <c r="D12" s="27"/>
      <c r="E12" s="28"/>
    </row>
    <row r="13" spans="1:6" ht="25" customHeight="1" thickBot="1" x14ac:dyDescent="0.3">
      <c r="A13" s="44" t="s">
        <v>27</v>
      </c>
      <c r="B13" s="6" t="s">
        <v>8</v>
      </c>
      <c r="C13" s="26"/>
      <c r="D13" s="27"/>
      <c r="E13" s="28"/>
    </row>
    <row r="14" spans="1:6" ht="25" customHeight="1" thickBot="1" x14ac:dyDescent="0.3">
      <c r="A14" s="45" t="s">
        <v>30</v>
      </c>
      <c r="B14" s="24" t="s">
        <v>48</v>
      </c>
      <c r="C14" s="69"/>
      <c r="D14" s="70" t="s">
        <v>72</v>
      </c>
      <c r="E14" s="71"/>
    </row>
    <row r="15" spans="1:6" ht="19" customHeight="1" x14ac:dyDescent="0.25">
      <c r="A15" s="45"/>
      <c r="B15" s="24"/>
      <c r="C15" s="26"/>
      <c r="D15" s="27"/>
      <c r="E15" s="28"/>
    </row>
    <row r="16" spans="1:6" ht="25" customHeight="1" thickBot="1" x14ac:dyDescent="0.3">
      <c r="A16" s="44" t="s">
        <v>28</v>
      </c>
      <c r="B16" s="6" t="s">
        <v>39</v>
      </c>
      <c r="C16" s="26"/>
      <c r="D16" s="27"/>
      <c r="E16" s="28"/>
    </row>
    <row r="17" spans="1:6" ht="25" customHeight="1" thickBot="1" x14ac:dyDescent="0.3">
      <c r="A17" s="45" t="s">
        <v>30</v>
      </c>
      <c r="B17" s="24" t="s">
        <v>62</v>
      </c>
      <c r="C17" s="69"/>
      <c r="D17" s="70" t="s">
        <v>72</v>
      </c>
      <c r="E17" s="71"/>
    </row>
    <row r="18" spans="1:6" ht="19" customHeight="1" x14ac:dyDescent="0.25">
      <c r="A18" s="46"/>
      <c r="B18" s="3"/>
      <c r="C18" s="26"/>
      <c r="D18" s="27"/>
      <c r="E18" s="28"/>
    </row>
    <row r="19" spans="1:6" ht="25" customHeight="1" thickBot="1" x14ac:dyDescent="0.3">
      <c r="A19" s="44" t="s">
        <v>29</v>
      </c>
      <c r="B19" s="4" t="s">
        <v>9</v>
      </c>
      <c r="C19" s="26"/>
      <c r="D19" s="27"/>
      <c r="E19" s="28"/>
    </row>
    <row r="20" spans="1:6" ht="25" customHeight="1" thickBot="1" x14ac:dyDescent="0.3">
      <c r="A20" s="45" t="s">
        <v>30</v>
      </c>
      <c r="B20" s="3" t="s">
        <v>49</v>
      </c>
      <c r="C20" s="69"/>
      <c r="D20" s="70" t="s">
        <v>72</v>
      </c>
      <c r="E20" s="71"/>
    </row>
    <row r="21" spans="1:6" ht="25" customHeight="1" thickBot="1" x14ac:dyDescent="0.3">
      <c r="A21" s="45" t="s">
        <v>31</v>
      </c>
      <c r="B21" s="3" t="s">
        <v>63</v>
      </c>
      <c r="C21" s="69"/>
      <c r="D21" s="70" t="s">
        <v>72</v>
      </c>
      <c r="E21" s="71"/>
    </row>
    <row r="22" spans="1:6" ht="25" customHeight="1" thickBot="1" x14ac:dyDescent="0.3">
      <c r="A22" s="45" t="s">
        <v>32</v>
      </c>
      <c r="B22" s="3" t="s">
        <v>50</v>
      </c>
      <c r="C22" s="69"/>
      <c r="D22" s="70" t="s">
        <v>72</v>
      </c>
      <c r="E22" s="71"/>
    </row>
    <row r="23" spans="1:6" ht="36" customHeight="1" x14ac:dyDescent="0.25">
      <c r="A23" s="45" t="s">
        <v>38</v>
      </c>
      <c r="B23" s="56" t="s">
        <v>44</v>
      </c>
      <c r="C23" s="57"/>
      <c r="D23" s="57"/>
      <c r="E23" s="58">
        <f>C23*D23</f>
        <v>0</v>
      </c>
    </row>
    <row r="24" spans="1:6" ht="36" customHeight="1" x14ac:dyDescent="0.25">
      <c r="A24" s="45" t="s">
        <v>45</v>
      </c>
      <c r="B24" s="56" t="s">
        <v>65</v>
      </c>
      <c r="C24" s="59"/>
      <c r="D24" s="59"/>
      <c r="E24" s="60">
        <f t="shared" ref="E24:E67" si="0">C24*D24</f>
        <v>0</v>
      </c>
    </row>
    <row r="25" spans="1:6" ht="36" customHeight="1" x14ac:dyDescent="0.25">
      <c r="A25" s="45" t="s">
        <v>46</v>
      </c>
      <c r="B25" s="56" t="s">
        <v>66</v>
      </c>
      <c r="C25" s="59"/>
      <c r="D25" s="59"/>
      <c r="E25" s="60">
        <f t="shared" si="0"/>
        <v>0</v>
      </c>
    </row>
    <row r="26" spans="1:6" ht="19" customHeight="1" thickBot="1" x14ac:dyDescent="0.3">
      <c r="A26" s="46"/>
      <c r="B26" s="3"/>
      <c r="C26" s="26"/>
      <c r="D26" s="27"/>
      <c r="E26" s="28"/>
    </row>
    <row r="27" spans="1:6" ht="31.5" customHeight="1" thickBot="1" x14ac:dyDescent="0.3">
      <c r="A27" s="43" t="s">
        <v>23</v>
      </c>
      <c r="B27" s="35" t="s">
        <v>51</v>
      </c>
      <c r="C27" s="26"/>
      <c r="D27" s="27"/>
      <c r="E27" s="28"/>
    </row>
    <row r="28" spans="1:6" ht="25" customHeight="1" thickBot="1" x14ac:dyDescent="0.3">
      <c r="A28" s="44" t="s">
        <v>27</v>
      </c>
      <c r="B28" s="3" t="s">
        <v>52</v>
      </c>
      <c r="C28" s="69"/>
      <c r="D28" s="70" t="s">
        <v>72</v>
      </c>
      <c r="E28" s="71"/>
      <c r="F28" s="23"/>
    </row>
    <row r="29" spans="1:6" ht="25" customHeight="1" thickBot="1" x14ac:dyDescent="0.3">
      <c r="A29" s="44" t="s">
        <v>40</v>
      </c>
      <c r="B29" s="3" t="s">
        <v>53</v>
      </c>
      <c r="C29" s="69"/>
      <c r="D29" s="70" t="s">
        <v>72</v>
      </c>
      <c r="E29" s="71"/>
    </row>
    <row r="30" spans="1:6" ht="19" customHeight="1" thickBot="1" x14ac:dyDescent="0.4">
      <c r="A30" s="46"/>
      <c r="B30" s="5"/>
      <c r="C30" s="33"/>
      <c r="D30" s="34"/>
      <c r="E30" s="28"/>
    </row>
    <row r="31" spans="1:6" ht="31" customHeight="1" thickBot="1" x14ac:dyDescent="0.4">
      <c r="A31" s="47" t="s">
        <v>24</v>
      </c>
      <c r="B31" s="35" t="s">
        <v>37</v>
      </c>
      <c r="C31" s="33"/>
      <c r="D31" s="34"/>
      <c r="E31" s="28"/>
    </row>
    <row r="32" spans="1:6" ht="25" customHeight="1" thickBot="1" x14ac:dyDescent="0.4">
      <c r="A32" s="44" t="s">
        <v>27</v>
      </c>
      <c r="B32" s="6" t="s">
        <v>6</v>
      </c>
      <c r="C32" s="33"/>
      <c r="D32" s="34"/>
      <c r="E32" s="28"/>
    </row>
    <row r="33" spans="1:5" ht="36" customHeight="1" thickBot="1" x14ac:dyDescent="0.3">
      <c r="A33" s="45" t="s">
        <v>30</v>
      </c>
      <c r="B33" s="3" t="s">
        <v>54</v>
      </c>
      <c r="C33" s="69"/>
      <c r="D33" s="70" t="s">
        <v>72</v>
      </c>
      <c r="E33" s="71"/>
    </row>
    <row r="34" spans="1:5" ht="25" customHeight="1" thickBot="1" x14ac:dyDescent="0.3">
      <c r="A34" s="45" t="s">
        <v>31</v>
      </c>
      <c r="B34" s="3" t="s">
        <v>55</v>
      </c>
      <c r="C34" s="69"/>
      <c r="D34" s="70" t="s">
        <v>72</v>
      </c>
      <c r="E34" s="71"/>
    </row>
    <row r="35" spans="1:5" ht="19" customHeight="1" x14ac:dyDescent="0.35">
      <c r="A35" s="46"/>
      <c r="B35" s="7"/>
      <c r="C35" s="33"/>
      <c r="D35" s="34"/>
      <c r="E35" s="28"/>
    </row>
    <row r="36" spans="1:5" ht="25" customHeight="1" thickBot="1" x14ac:dyDescent="0.4">
      <c r="A36" s="44" t="s">
        <v>28</v>
      </c>
      <c r="B36" s="6" t="s">
        <v>56</v>
      </c>
      <c r="C36" s="33"/>
      <c r="D36" s="34"/>
      <c r="E36" s="28"/>
    </row>
    <row r="37" spans="1:5" ht="25" customHeight="1" thickBot="1" x14ac:dyDescent="0.3">
      <c r="A37" s="45" t="s">
        <v>30</v>
      </c>
      <c r="B37" s="3" t="s">
        <v>57</v>
      </c>
      <c r="C37" s="69"/>
      <c r="D37" s="70" t="s">
        <v>72</v>
      </c>
      <c r="E37" s="71"/>
    </row>
    <row r="38" spans="1:5" ht="25" customHeight="1" thickBot="1" x14ac:dyDescent="0.3">
      <c r="A38" s="45" t="s">
        <v>31</v>
      </c>
      <c r="B38" s="3" t="s">
        <v>58</v>
      </c>
      <c r="C38" s="69"/>
      <c r="D38" s="70" t="s">
        <v>72</v>
      </c>
      <c r="E38" s="71"/>
    </row>
    <row r="39" spans="1:5" ht="36" customHeight="1" thickBot="1" x14ac:dyDescent="0.3">
      <c r="A39" s="45" t="s">
        <v>32</v>
      </c>
      <c r="B39" s="3" t="s">
        <v>59</v>
      </c>
      <c r="C39" s="69"/>
      <c r="D39" s="70" t="s">
        <v>72</v>
      </c>
      <c r="E39" s="71"/>
    </row>
    <row r="40" spans="1:5" ht="19" customHeight="1" x14ac:dyDescent="0.35">
      <c r="A40" s="45"/>
      <c r="B40" s="3"/>
      <c r="C40" s="33"/>
      <c r="D40" s="34"/>
      <c r="E40" s="28"/>
    </row>
    <row r="41" spans="1:5" ht="25" customHeight="1" thickBot="1" x14ac:dyDescent="0.3">
      <c r="A41" s="44" t="s">
        <v>29</v>
      </c>
      <c r="B41" s="6" t="s">
        <v>17</v>
      </c>
      <c r="C41" s="32"/>
      <c r="D41" s="32"/>
      <c r="E41" s="28"/>
    </row>
    <row r="42" spans="1:5" ht="25" customHeight="1" thickBot="1" x14ac:dyDescent="0.3">
      <c r="A42" s="45" t="s">
        <v>30</v>
      </c>
      <c r="B42" s="3" t="s">
        <v>64</v>
      </c>
      <c r="C42" s="69"/>
      <c r="D42" s="70" t="s">
        <v>72</v>
      </c>
      <c r="E42" s="71"/>
    </row>
    <row r="43" spans="1:5" ht="19" customHeight="1" thickBot="1" x14ac:dyDescent="0.4">
      <c r="A43" s="46"/>
      <c r="B43" s="5"/>
      <c r="C43" s="33"/>
      <c r="D43" s="34"/>
      <c r="E43" s="28"/>
    </row>
    <row r="44" spans="1:5" ht="30.65" customHeight="1" thickBot="1" x14ac:dyDescent="0.4">
      <c r="A44" s="43" t="s">
        <v>25</v>
      </c>
      <c r="B44" s="55" t="s">
        <v>5</v>
      </c>
      <c r="C44" s="33"/>
      <c r="D44" s="34"/>
      <c r="E44" s="28"/>
    </row>
    <row r="45" spans="1:5" ht="25" customHeight="1" x14ac:dyDescent="0.25">
      <c r="A45" s="44" t="s">
        <v>27</v>
      </c>
      <c r="B45" s="61" t="s">
        <v>69</v>
      </c>
      <c r="C45" s="59"/>
      <c r="D45" s="59"/>
      <c r="E45" s="60">
        <f t="shared" si="0"/>
        <v>0</v>
      </c>
    </row>
    <row r="46" spans="1:5" ht="19" customHeight="1" x14ac:dyDescent="0.25">
      <c r="A46" s="44"/>
      <c r="B46" s="10"/>
      <c r="C46" s="32"/>
      <c r="D46" s="32"/>
      <c r="E46" s="28"/>
    </row>
    <row r="47" spans="1:5" ht="25" customHeight="1" x14ac:dyDescent="0.35">
      <c r="A47" s="44" t="s">
        <v>28</v>
      </c>
      <c r="B47" s="6" t="s">
        <v>18</v>
      </c>
      <c r="C47" s="33"/>
      <c r="D47" s="34"/>
      <c r="E47" s="28"/>
    </row>
    <row r="48" spans="1:5" ht="25" customHeight="1" thickBot="1" x14ac:dyDescent="0.4">
      <c r="A48" s="45"/>
      <c r="B48" s="56" t="s">
        <v>75</v>
      </c>
      <c r="C48" s="66"/>
      <c r="D48" s="67"/>
      <c r="E48" s="68">
        <f t="shared" si="0"/>
        <v>0</v>
      </c>
    </row>
    <row r="49" spans="1:5" ht="37" customHeight="1" thickBot="1" x14ac:dyDescent="0.3">
      <c r="A49" s="45"/>
      <c r="B49" s="3" t="s">
        <v>76</v>
      </c>
      <c r="C49" s="77" t="s">
        <v>73</v>
      </c>
      <c r="D49" s="72"/>
      <c r="E49" s="73"/>
    </row>
    <row r="50" spans="1:5" ht="19" customHeight="1" x14ac:dyDescent="0.35">
      <c r="A50" s="46"/>
      <c r="B50" s="11"/>
      <c r="C50" s="33"/>
      <c r="D50" s="34"/>
      <c r="E50" s="28"/>
    </row>
    <row r="51" spans="1:5" ht="25" customHeight="1" x14ac:dyDescent="0.35">
      <c r="A51" s="44" t="s">
        <v>29</v>
      </c>
      <c r="B51" s="6" t="s">
        <v>10</v>
      </c>
      <c r="C51" s="33"/>
      <c r="D51" s="34"/>
      <c r="E51" s="28"/>
    </row>
    <row r="52" spans="1:5" ht="25" customHeight="1" thickBot="1" x14ac:dyDescent="0.4">
      <c r="A52" s="45"/>
      <c r="B52" s="56" t="s">
        <v>77</v>
      </c>
      <c r="C52" s="62"/>
      <c r="D52" s="63"/>
      <c r="E52" s="60">
        <f t="shared" si="0"/>
        <v>0</v>
      </c>
    </row>
    <row r="53" spans="1:5" ht="37" customHeight="1" thickBot="1" x14ac:dyDescent="0.3">
      <c r="A53" s="45"/>
      <c r="B53" s="3" t="s">
        <v>78</v>
      </c>
      <c r="C53" s="77" t="s">
        <v>73</v>
      </c>
      <c r="D53" s="72"/>
      <c r="E53" s="73"/>
    </row>
    <row r="54" spans="1:5" ht="19" customHeight="1" x14ac:dyDescent="0.35">
      <c r="A54" s="46"/>
      <c r="B54" s="11"/>
      <c r="C54" s="33"/>
      <c r="D54" s="34"/>
      <c r="E54" s="28"/>
    </row>
    <row r="55" spans="1:5" ht="25" customHeight="1" x14ac:dyDescent="0.35">
      <c r="A55" s="44" t="s">
        <v>34</v>
      </c>
      <c r="B55" s="6" t="s">
        <v>11</v>
      </c>
      <c r="C55" s="33"/>
      <c r="D55" s="34"/>
      <c r="E55" s="28"/>
    </row>
    <row r="56" spans="1:5" ht="25" customHeight="1" thickBot="1" x14ac:dyDescent="0.4">
      <c r="A56" s="45"/>
      <c r="B56" s="64" t="s">
        <v>75</v>
      </c>
      <c r="C56" s="62"/>
      <c r="D56" s="63"/>
      <c r="E56" s="60">
        <f t="shared" si="0"/>
        <v>0</v>
      </c>
    </row>
    <row r="57" spans="1:5" ht="37" customHeight="1" thickBot="1" x14ac:dyDescent="0.3">
      <c r="A57" s="45"/>
      <c r="B57" s="3" t="s">
        <v>76</v>
      </c>
      <c r="C57" s="77" t="s">
        <v>73</v>
      </c>
      <c r="D57" s="72"/>
      <c r="E57" s="73"/>
    </row>
    <row r="58" spans="1:5" ht="19" customHeight="1" x14ac:dyDescent="0.35">
      <c r="A58" s="45"/>
      <c r="B58" s="3"/>
      <c r="C58" s="33"/>
      <c r="D58" s="34"/>
      <c r="E58" s="28"/>
    </row>
    <row r="59" spans="1:5" s="12" customFormat="1" ht="25" customHeight="1" x14ac:dyDescent="0.25">
      <c r="A59" s="44" t="s">
        <v>41</v>
      </c>
      <c r="B59" s="65" t="s">
        <v>36</v>
      </c>
      <c r="C59" s="59"/>
      <c r="D59" s="59"/>
      <c r="E59" s="60">
        <f t="shared" si="0"/>
        <v>0</v>
      </c>
    </row>
    <row r="60" spans="1:5" ht="19" customHeight="1" thickBot="1" x14ac:dyDescent="0.4">
      <c r="A60" s="46"/>
      <c r="B60" s="48"/>
      <c r="C60" s="33"/>
      <c r="D60" s="34"/>
      <c r="E60" s="28"/>
    </row>
    <row r="61" spans="1:5" ht="30" customHeight="1" thickBot="1" x14ac:dyDescent="0.4">
      <c r="A61" s="43" t="s">
        <v>26</v>
      </c>
      <c r="B61" s="35" t="s">
        <v>13</v>
      </c>
      <c r="C61" s="33"/>
      <c r="D61" s="34"/>
      <c r="E61" s="28"/>
    </row>
    <row r="62" spans="1:5" ht="25" customHeight="1" x14ac:dyDescent="0.35">
      <c r="A62" s="44" t="s">
        <v>27</v>
      </c>
      <c r="B62" s="6" t="s">
        <v>19</v>
      </c>
      <c r="C62" s="33"/>
      <c r="D62" s="34"/>
      <c r="E62" s="28"/>
    </row>
    <row r="63" spans="1:5" ht="25" customHeight="1" x14ac:dyDescent="0.25">
      <c r="A63" s="45"/>
      <c r="B63" s="56" t="s">
        <v>70</v>
      </c>
      <c r="C63" s="59"/>
      <c r="D63" s="59"/>
      <c r="E63" s="60">
        <f>C63*D63</f>
        <v>0</v>
      </c>
    </row>
    <row r="64" spans="1:5" ht="19" customHeight="1" x14ac:dyDescent="0.25">
      <c r="A64" s="45"/>
      <c r="B64" s="3"/>
      <c r="C64" s="32"/>
      <c r="D64" s="32"/>
      <c r="E64" s="28"/>
    </row>
    <row r="65" spans="1:5" ht="25" customHeight="1" x14ac:dyDescent="0.35">
      <c r="A65" s="44" t="s">
        <v>28</v>
      </c>
      <c r="B65" s="6" t="s">
        <v>20</v>
      </c>
      <c r="C65" s="33"/>
      <c r="D65" s="34"/>
      <c r="E65" s="28"/>
    </row>
    <row r="66" spans="1:5" ht="25" customHeight="1" x14ac:dyDescent="0.25">
      <c r="A66" s="45" t="s">
        <v>30</v>
      </c>
      <c r="B66" s="3" t="s">
        <v>42</v>
      </c>
      <c r="C66" s="76" t="s">
        <v>74</v>
      </c>
      <c r="D66" s="75"/>
      <c r="E66" s="74"/>
    </row>
    <row r="67" spans="1:5" ht="25" customHeight="1" x14ac:dyDescent="0.25">
      <c r="A67" s="45" t="s">
        <v>31</v>
      </c>
      <c r="B67" s="56" t="s">
        <v>21</v>
      </c>
      <c r="C67" s="59"/>
      <c r="D67" s="59"/>
      <c r="E67" s="60">
        <f t="shared" si="0"/>
        <v>0</v>
      </c>
    </row>
    <row r="68" spans="1:5" ht="19" customHeight="1" thickBot="1" x14ac:dyDescent="0.4">
      <c r="A68" s="45"/>
      <c r="B68" s="13"/>
      <c r="C68" s="33"/>
      <c r="D68" s="34"/>
      <c r="E68" s="28"/>
    </row>
    <row r="69" spans="1:5" ht="28" customHeight="1" thickBot="1" x14ac:dyDescent="0.4">
      <c r="A69" s="43" t="s">
        <v>33</v>
      </c>
      <c r="B69" s="35" t="s">
        <v>14</v>
      </c>
      <c r="C69" s="33"/>
      <c r="D69" s="34"/>
      <c r="E69" s="28"/>
    </row>
    <row r="70" spans="1:5" ht="25" customHeight="1" thickBot="1" x14ac:dyDescent="0.3">
      <c r="A70" s="44" t="s">
        <v>27</v>
      </c>
      <c r="B70" s="49" t="s">
        <v>60</v>
      </c>
      <c r="C70" s="69"/>
      <c r="D70" s="70" t="s">
        <v>72</v>
      </c>
      <c r="E70" s="71"/>
    </row>
    <row r="71" spans="1:5" ht="25" customHeight="1" thickBot="1" x14ac:dyDescent="0.3">
      <c r="A71" s="44" t="s">
        <v>28</v>
      </c>
      <c r="B71" s="49" t="s">
        <v>61</v>
      </c>
      <c r="C71" s="69"/>
      <c r="D71" s="70" t="s">
        <v>72</v>
      </c>
      <c r="E71" s="71"/>
    </row>
    <row r="72" spans="1:5" ht="25" customHeight="1" thickBot="1" x14ac:dyDescent="0.3">
      <c r="A72" s="44" t="s">
        <v>29</v>
      </c>
      <c r="B72" s="49" t="s">
        <v>67</v>
      </c>
      <c r="C72" s="69"/>
      <c r="D72" s="70" t="s">
        <v>72</v>
      </c>
      <c r="E72" s="71"/>
    </row>
    <row r="73" spans="1:5" ht="19" customHeight="1" thickBot="1" x14ac:dyDescent="0.4">
      <c r="A73" s="46"/>
      <c r="B73" s="3"/>
      <c r="C73" s="33"/>
      <c r="D73" s="34"/>
      <c r="E73" s="28"/>
    </row>
    <row r="74" spans="1:5" ht="30" customHeight="1" thickBot="1" x14ac:dyDescent="0.4">
      <c r="A74" s="43" t="s">
        <v>35</v>
      </c>
      <c r="B74" s="35" t="s">
        <v>43</v>
      </c>
      <c r="C74" s="33"/>
      <c r="D74" s="34"/>
      <c r="E74" s="28"/>
    </row>
    <row r="75" spans="1:5" ht="25" customHeight="1" thickBot="1" x14ac:dyDescent="0.3">
      <c r="A75" s="44"/>
      <c r="B75" s="49" t="s">
        <v>71</v>
      </c>
      <c r="C75" s="69"/>
      <c r="D75" s="70" t="s">
        <v>72</v>
      </c>
      <c r="E75" s="71"/>
    </row>
    <row r="76" spans="1:5" ht="25" customHeight="1" thickBot="1" x14ac:dyDescent="0.45">
      <c r="A76" s="50"/>
      <c r="B76" s="51" t="s">
        <v>15</v>
      </c>
      <c r="C76" s="52"/>
      <c r="D76" s="53"/>
      <c r="E76" s="54">
        <f>SUM(E13:E75)</f>
        <v>0</v>
      </c>
    </row>
    <row r="77" spans="1:5" ht="25" customHeight="1" x14ac:dyDescent="0.35">
      <c r="A77" s="14"/>
      <c r="B77" s="15"/>
      <c r="C77" s="25"/>
      <c r="E77" s="40"/>
    </row>
    <row r="78" spans="1:5" x14ac:dyDescent="0.4">
      <c r="B78" s="17"/>
    </row>
    <row r="79" spans="1:5" x14ac:dyDescent="0.4">
      <c r="B79" s="18"/>
    </row>
    <row r="80" spans="1:5" x14ac:dyDescent="0.4">
      <c r="B80" s="19"/>
    </row>
    <row r="84" spans="2:2" x14ac:dyDescent="0.4">
      <c r="B84" s="17"/>
    </row>
    <row r="85" spans="2:2" x14ac:dyDescent="0.4">
      <c r="B85" s="17"/>
    </row>
    <row r="86" spans="2:2" x14ac:dyDescent="0.4">
      <c r="B86" s="17"/>
    </row>
    <row r="87" spans="2:2" x14ac:dyDescent="0.4">
      <c r="B87" s="21"/>
    </row>
    <row r="88" spans="2:2" x14ac:dyDescent="0.4">
      <c r="B88" s="17"/>
    </row>
    <row r="89" spans="2:2" x14ac:dyDescent="0.4">
      <c r="B89" s="17"/>
    </row>
    <row r="90" spans="2:2" x14ac:dyDescent="0.4">
      <c r="B90" s="18"/>
    </row>
    <row r="91" spans="2:2" x14ac:dyDescent="0.4">
      <c r="B91" s="18"/>
    </row>
    <row r="92" spans="2:2" x14ac:dyDescent="0.4">
      <c r="B92" s="22"/>
    </row>
    <row r="94" spans="2:2" x14ac:dyDescent="0.4">
      <c r="B94" s="21"/>
    </row>
  </sheetData>
  <customSheetViews>
    <customSheetView guid="{409DB1F8-ED81-4FF2-9A96-44804E66EF63}" scale="85" showPageBreaks="1" printArea="1" hiddenRows="1" view="pageBreakPreview" topLeftCell="A62">
      <selection activeCell="B76" sqref="B76"/>
      <rowBreaks count="1" manualBreakCount="1">
        <brk id="34" min="1" max="4" man="1"/>
      </rowBreaks>
      <pageMargins left="0.5" right="0.5" top="0.5" bottom="0.75" header="0.5" footer="0.5"/>
      <printOptions horizontalCentered="1" gridLines="1"/>
      <pageSetup scale="64" fitToHeight="5" orientation="portrait" r:id="rId1"/>
      <headerFooter alignWithMargins="0">
        <oddFooter>&amp;RSecurity Unit Price List (Level II)
REV (08 2021)
&amp;P</oddFooter>
      </headerFooter>
    </customSheetView>
    <customSheetView guid="{E3A1D301-E939-462A-8971-1F50908CD89F}" scale="90" showPageBreaks="1" printArea="1" hiddenRows="1" view="pageBreakPreview" topLeftCell="A68">
      <selection activeCell="B34" sqref="B34"/>
      <rowBreaks count="1" manualBreakCount="1">
        <brk id="33" max="4" man="1"/>
      </rowBreaks>
      <pageMargins left="0.5" right="0.5" top="0.5" bottom="0.75" header="0.5" footer="0.5"/>
      <printOptions horizontalCentered="1" gridLines="1"/>
      <pageSetup scale="64" fitToHeight="5" orientation="portrait" r:id="rId2"/>
      <headerFooter alignWithMargins="0">
        <oddFooter>&amp;RSecurity Unit Price List (Level III)
REV (xx 2021)
Page #</oddFooter>
      </headerFooter>
    </customSheetView>
    <customSheetView guid="{7D3A50F5-FAD0-4253-BBF2-1C46BA009D37}" showPageBreaks="1" printArea="1" hiddenRows="1" view="pageLayout" topLeftCell="A8">
      <selection activeCell="A8" sqref="A8:E8"/>
      <rowBreaks count="1" manualBreakCount="1">
        <brk id="33" max="4" man="1"/>
      </rowBreaks>
      <pageMargins left="0.5" right="0.5" top="0.5" bottom="0.75" header="0.5" footer="0.5"/>
      <printOptions horizontalCentered="1" gridLines="1"/>
      <pageSetup scale="64" fitToHeight="5" orientation="portrait" r:id="rId3"/>
      <headerFooter alignWithMargins="0">
        <oddFooter>&amp;RSecurity Unit Price List (Level II)
REV (08 2021)
&amp;P</oddFooter>
      </headerFooter>
    </customSheetView>
  </customSheetViews>
  <mergeCells count="9">
    <mergeCell ref="A1:E1"/>
    <mergeCell ref="A9:E9"/>
    <mergeCell ref="A4:E4"/>
    <mergeCell ref="A6:E6"/>
    <mergeCell ref="A7:E7"/>
    <mergeCell ref="A8:E8"/>
    <mergeCell ref="A3:E3"/>
    <mergeCell ref="A5:E5"/>
    <mergeCell ref="A2:E2"/>
  </mergeCells>
  <phoneticPr fontId="2" type="noConversion"/>
  <printOptions horizontalCentered="1" gridLines="1"/>
  <pageMargins left="0.5" right="0.5" top="0.5" bottom="0.75" header="0.5" footer="0.25"/>
  <pageSetup scale="64" fitToHeight="0" orientation="portrait" r:id="rId4"/>
  <headerFooter alignWithMargins="0">
    <oddFooter>&amp;RSecurity Unit Price List (Level II)
REV (OCT 2024)
&amp;P</oddFooter>
  </headerFooter>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Security Unit Costs</vt:lpstr>
      <vt:lpstr>'Security Unit Costs'!Print_Area</vt:lpstr>
    </vt:vector>
  </TitlesOfParts>
  <Company>GSA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lhs</dc:creator>
  <cp:lastModifiedBy>Correa Ochoa, Javier A. (Miami VA)</cp:lastModifiedBy>
  <cp:lastPrinted>2022-05-23T18:29:55Z</cp:lastPrinted>
  <dcterms:created xsi:type="dcterms:W3CDTF">2006-04-11T12:32:45Z</dcterms:created>
  <dcterms:modified xsi:type="dcterms:W3CDTF">2025-11-07T20:54:31Z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jorKey">
    <vt:lpwstr>0</vt:lpwstr>
  </property>
</Properties>
</file>