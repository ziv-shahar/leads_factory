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drawings/drawing3.xml" ContentType="application/vnd.openxmlformats-officedocument.drawing+xml"/>
  <Override PartName="/xl/activeX/activeX2.xml" ContentType="application/vnd.ms-office.activeX+xml"/>
  <Override PartName="/xl/activeX/activeX2.bin" ContentType="application/vnd.ms-office.activeX"/>
  <Override PartName="/xl/drawings/drawing4.xml" ContentType="application/vnd.openxmlformats-officedocument.drawing+xml"/>
  <Override PartName="/xl/activeX/activeX3.xml" ContentType="application/vnd.ms-office.activeX+xml"/>
  <Override PartName="/xl/activeX/activeX3.bin" ContentType="application/vnd.ms-office.activeX"/>
  <Override PartName="/xl/drawings/drawing5.xml" ContentType="application/vnd.openxmlformats-officedocument.drawing+xml"/>
  <Override PartName="/xl/activeX/activeX4.xml" ContentType="application/vnd.ms-office.activeX+xml"/>
  <Override PartName="/xl/activeX/activeX4.bin" ContentType="application/vnd.ms-office.activeX"/>
  <Override PartName="/xl/drawings/drawing6.xml" ContentType="application/vnd.openxmlformats-officedocument.drawing+xml"/>
  <Override PartName="/xl/activeX/activeX5.xml" ContentType="application/vnd.ms-office.activeX+xml"/>
  <Override PartName="/xl/activeX/activeX5.bin" ContentType="application/vnd.ms-office.activeX"/>
  <Override PartName="/xl/drawings/drawing7.xml" ContentType="application/vnd.openxmlformats-officedocument.drawing+xml"/>
  <Override PartName="/xl/activeX/activeX6.xml" ContentType="application/vnd.ms-office.activeX+xml"/>
  <Override PartName="/xl/activeX/activeX6.bin" ContentType="application/vnd.ms-office.activeX"/>
  <Override PartName="/xl/drawings/drawing8.xml" ContentType="application/vnd.openxmlformats-officedocument.drawing+xml"/>
  <Override PartName="/xl/activeX/activeX7.xml" ContentType="application/vnd.ms-office.activeX+xml"/>
  <Override PartName="/xl/activeX/activeX7.bin" ContentType="application/vnd.ms-office.activeX"/>
  <Override PartName="/xl/drawings/drawing9.xml" ContentType="application/vnd.openxmlformats-officedocument.drawing+xml"/>
  <Override PartName="/xl/activeX/activeX8.xml" ContentType="application/vnd.ms-office.activeX+xml"/>
  <Override PartName="/xl/activeX/activeX8.bin" ContentType="application/vnd.ms-office.activeX"/>
  <Override PartName="/xl/drawings/drawing10.xml" ContentType="application/vnd.openxmlformats-officedocument.drawing+xml"/>
  <Override PartName="/xl/activeX/activeX9.xml" ContentType="application/vnd.ms-office.activeX+xml"/>
  <Override PartName="/xl/activeX/activeX9.bin" ContentType="application/vnd.ms-office.activeX"/>
  <Override PartName="/xl/drawings/drawing11.xml" ContentType="application/vnd.openxmlformats-officedocument.drawing+xml"/>
  <Override PartName="/xl/activeX/activeX10.xml" ContentType="application/vnd.ms-office.activeX+xml"/>
  <Override PartName="/xl/activeX/activeX10.bin" ContentType="application/vnd.ms-office.activeX"/>
  <Override PartName="/xl/drawings/drawing12.xml" ContentType="application/vnd.openxmlformats-officedocument.drawing+xml"/>
  <Override PartName="/xl/activeX/activeX11.xml" ContentType="application/vnd.ms-office.activeX+xml"/>
  <Override PartName="/xl/activeX/activeX11.bin" ContentType="application/vnd.ms-office.activeX"/>
  <Override PartName="/xl/drawings/drawing13.xml" ContentType="application/vnd.openxmlformats-officedocument.drawing+xml"/>
  <Override PartName="/xl/activeX/activeX12.xml" ContentType="application/vnd.ms-office.activeX+xml"/>
  <Override PartName="/xl/activeX/activeX12.bin" ContentType="application/vnd.ms-office.activeX"/>
  <Override PartName="/xl/drawings/drawing14.xml" ContentType="application/vnd.openxmlformats-officedocument.drawing+xml"/>
  <Override PartName="/xl/activeX/activeX13.xml" ContentType="application/vnd.ms-office.activeX+xml"/>
  <Override PartName="/xl/activeX/activeX13.bin" ContentType="application/vnd.ms-office.activeX"/>
  <Override PartName="/xl/drawings/drawing15.xml" ContentType="application/vnd.openxmlformats-officedocument.drawing+xml"/>
  <Override PartName="/xl/activeX/activeX14.xml" ContentType="application/vnd.ms-office.activeX+xml"/>
  <Override PartName="/xl/activeX/activeX14.bin" ContentType="application/vnd.ms-office.activeX"/>
  <Override PartName="/xl/drawings/drawing16.xml" ContentType="application/vnd.openxmlformats-officedocument.drawing+xml"/>
  <Override PartName="/xl/activeX/activeX15.xml" ContentType="application/vnd.ms-office.activeX+xml"/>
  <Override PartName="/xl/activeX/activeX15.bin" ContentType="application/vnd.ms-office.activeX"/>
  <Override PartName="/xl/drawings/drawing17.xml" ContentType="application/vnd.openxmlformats-officedocument.drawing+xml"/>
  <Override PartName="/xl/activeX/activeX16.xml" ContentType="application/vnd.ms-office.activeX+xml"/>
  <Override PartName="/xl/activeX/activeX16.bin" ContentType="application/vnd.ms-office.activeX"/>
  <Override PartName="/xl/drawings/drawing18.xml" ContentType="application/vnd.openxmlformats-officedocument.drawing+xml"/>
  <Override PartName="/xl/activeX/activeX17.xml" ContentType="application/vnd.ms-office.activeX+xml"/>
  <Override PartName="/xl/activeX/activeX17.bin" ContentType="application/vnd.ms-office.activeX"/>
  <Override PartName="/xl/drawings/drawing19.xml" ContentType="application/vnd.openxmlformats-officedocument.drawing+xml"/>
  <Override PartName="/xl/activeX/activeX18.xml" ContentType="application/vnd.ms-office.activeX+xml"/>
  <Override PartName="/xl/activeX/activeX18.bin" ContentType="application/vnd.ms-office.activeX"/>
  <Override PartName="/xl/drawings/drawing20.xml" ContentType="application/vnd.openxmlformats-officedocument.drawing+xml"/>
  <Override PartName="/xl/activeX/activeX19.xml" ContentType="application/vnd.ms-office.activeX+xml"/>
  <Override PartName="/xl/activeX/activeX19.bin" ContentType="application/vnd.ms-office.activeX"/>
  <Override PartName="/xl/drawings/drawing21.xml" ContentType="application/vnd.openxmlformats-officedocument.drawing+xml"/>
  <Override PartName="/xl/activeX/activeX20.xml" ContentType="application/vnd.ms-office.activeX+xml"/>
  <Override PartName="/xl/activeX/activeX20.bin" ContentType="application/vnd.ms-office.activeX"/>
  <Override PartName="/xl/drawings/drawing22.xml" ContentType="application/vnd.openxmlformats-officedocument.drawing+xml"/>
  <Override PartName="/xl/activeX/activeX21.xml" ContentType="application/vnd.ms-office.activeX+xml"/>
  <Override PartName="/xl/activeX/activeX21.bin" ContentType="application/vnd.ms-office.activeX"/>
  <Override PartName="/xl/drawings/drawing23.xml" ContentType="application/vnd.openxmlformats-officedocument.drawing+xml"/>
  <Override PartName="/xl/activeX/activeX22.xml" ContentType="application/vnd.ms-office.activeX+xml"/>
  <Override PartName="/xl/activeX/activeX22.bin" ContentType="application/vnd.ms-office.activeX"/>
  <Override PartName="/xl/drawings/drawing24.xml" ContentType="application/vnd.openxmlformats-officedocument.drawing+xml"/>
  <Override PartName="/xl/activeX/activeX23.xml" ContentType="application/vnd.ms-office.activeX+xml"/>
  <Override PartName="/xl/activeX/activeX23.bin" ContentType="application/vnd.ms-office.activeX"/>
  <Override PartName="/xl/drawings/drawing25.xml" ContentType="application/vnd.openxmlformats-officedocument.drawing+xml"/>
  <Override PartName="/xl/activeX/activeX24.xml" ContentType="application/vnd.ms-office.activeX+xml"/>
  <Override PartName="/xl/activeX/activeX24.bin" ContentType="application/vnd.ms-office.activeX"/>
  <Override PartName="/xl/drawings/drawing26.xml" ContentType="application/vnd.openxmlformats-officedocument.drawing+xml"/>
  <Override PartName="/xl/activeX/activeX25.xml" ContentType="application/vnd.ms-office.activeX+xml"/>
  <Override PartName="/xl/activeX/activeX25.bin" ContentType="application/vnd.ms-office.activeX"/>
  <Override PartName="/xl/drawings/drawing27.xml" ContentType="application/vnd.openxmlformats-officedocument.drawing+xml"/>
  <Override PartName="/xl/activeX/activeX26.xml" ContentType="application/vnd.ms-office.activeX+xml"/>
  <Override PartName="/xl/activeX/activeX26.bin" ContentType="application/vnd.ms-office.activeX"/>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dvagov-my.sharepoint.com/personal/javier_correaochoa_va_gov/Documents/My Documents/LEASES/SJ - Ceiba CBOC/Relocation/RLP PACKAGE/"/>
    </mc:Choice>
  </mc:AlternateContent>
  <xr:revisionPtr revIDLastSave="0" documentId="8_{D9F6F89E-7FC0-499E-96A3-3F7BA0ECD87D}" xr6:coauthVersionLast="47" xr6:coauthVersionMax="47" xr10:uidLastSave="{00000000-0000-0000-0000-000000000000}"/>
  <bookViews>
    <workbookView xWindow="19090" yWindow="-110" windowWidth="19420" windowHeight="10420" tabRatio="894" xr2:uid="{00000000-000D-0000-FFFF-FFFF00000000}"/>
  </bookViews>
  <sheets>
    <sheet name="TICS " sheetId="1" r:id="rId1"/>
    <sheet name="INSTRUCTIONS" sheetId="6" r:id="rId2"/>
    <sheet name="SHELL" sheetId="7" r:id="rId3"/>
    <sheet name="INPUT" sheetId="5" r:id="rId4"/>
    <sheet name="BSAC" sheetId="58" r:id="rId5"/>
    <sheet name="1" sheetId="32" r:id="rId6"/>
    <sheet name="2" sheetId="33" r:id="rId7"/>
    <sheet name="3" sheetId="34" r:id="rId8"/>
    <sheet name="4" sheetId="35" r:id="rId9"/>
    <sheet name="5" sheetId="36" r:id="rId10"/>
    <sheet name="6" sheetId="37" r:id="rId11"/>
    <sheet name="7" sheetId="38" r:id="rId12"/>
    <sheet name="8" sheetId="39" r:id="rId13"/>
    <sheet name="9" sheetId="40" r:id="rId14"/>
    <sheet name="10" sheetId="41" r:id="rId15"/>
    <sheet name="11" sheetId="42" r:id="rId16"/>
    <sheet name="12" sheetId="43" r:id="rId17"/>
    <sheet name="13" sheetId="44" r:id="rId18"/>
    <sheet name="14" sheetId="45" r:id="rId19"/>
    <sheet name="21" sheetId="46" r:id="rId20"/>
    <sheet name="22" sheetId="47" r:id="rId21"/>
    <sheet name="23" sheetId="48" r:id="rId22"/>
    <sheet name="26.1" sheetId="49" r:id="rId23"/>
    <sheet name="26.2" sheetId="50" r:id="rId24"/>
    <sheet name="27" sheetId="51" r:id="rId25"/>
    <sheet name="28.1" sheetId="52" r:id="rId26"/>
    <sheet name="28.2" sheetId="53" r:id="rId27"/>
    <sheet name="31" sheetId="54" r:id="rId28"/>
    <sheet name="32" sheetId="55" r:id="rId29"/>
    <sheet name="33" sheetId="57" r:id="rId30"/>
  </sheets>
  <definedNames>
    <definedName name="Agency">#REF!</definedName>
    <definedName name="Agency_Name">#REF!</definedName>
    <definedName name="Bureau_Code">#REF!</definedName>
    <definedName name="EST">#REF!</definedName>
    <definedName name="_xlnm.Print_Area" localSheetId="5">'1'!$A$1:$I$38</definedName>
    <definedName name="_xlnm.Print_Area" localSheetId="14">'10'!$A$1:$I$38</definedName>
    <definedName name="_xlnm.Print_Area" localSheetId="15">'11'!$A$1:$I$38</definedName>
    <definedName name="_xlnm.Print_Area" localSheetId="16">'12'!$A$1:$I$50</definedName>
    <definedName name="_xlnm.Print_Area" localSheetId="17">'13'!$A$1:$I$38</definedName>
    <definedName name="_xlnm.Print_Area" localSheetId="18">'14'!$A$1:$I$38</definedName>
    <definedName name="_xlnm.Print_Area" localSheetId="6">'2'!$A$1:$I$39</definedName>
    <definedName name="_xlnm.Print_Area" localSheetId="19">'21'!$A$1:$I$38</definedName>
    <definedName name="_xlnm.Print_Area" localSheetId="20">'22'!$A$1:$I$50</definedName>
    <definedName name="_xlnm.Print_Area" localSheetId="21">'23'!$A$1:$I$50</definedName>
    <definedName name="_xlnm.Print_Area" localSheetId="22">'26.1'!$A$1:$I$50</definedName>
    <definedName name="_xlnm.Print_Area" localSheetId="23">'26.2'!$A$1:$I$50</definedName>
    <definedName name="_xlnm.Print_Area" localSheetId="24">'27'!$A$1:$I$50</definedName>
    <definedName name="_xlnm.Print_Area" localSheetId="25">'28.1'!$A$1:$I$50</definedName>
    <definedName name="_xlnm.Print_Area" localSheetId="26">'28.2'!$A$1:$I$50</definedName>
    <definedName name="_xlnm.Print_Area" localSheetId="7">'3'!$A$1:$I$38</definedName>
    <definedName name="_xlnm.Print_Area" localSheetId="27">'31'!$A$1:$I$38</definedName>
    <definedName name="_xlnm.Print_Area" localSheetId="28">'32'!$A$1:$I$38</definedName>
    <definedName name="_xlnm.Print_Area" localSheetId="29">'33'!$A$1:$I$38</definedName>
    <definedName name="_xlnm.Print_Area" localSheetId="8">'4'!$A$1:$I$38</definedName>
    <definedName name="_xlnm.Print_Area" localSheetId="9">'5'!$A$1:$I$38</definedName>
    <definedName name="_xlnm.Print_Area" localSheetId="10">'6'!$A$1:$I$38</definedName>
    <definedName name="_xlnm.Print_Area" localSheetId="11">'7'!$A$1:$I$38</definedName>
    <definedName name="_xlnm.Print_Area" localSheetId="12">'8'!$A$1:$I$60</definedName>
    <definedName name="_xlnm.Print_Area" localSheetId="13">'9'!$A$1:$I$60</definedName>
    <definedName name="_xlnm.Print_Area" localSheetId="4">BSAC!$A$1:$I$23</definedName>
    <definedName name="_xlnm.Print_Area" localSheetId="2">SHELL!$B$1:$C$8</definedName>
    <definedName name="_xlnm.Print_Area" localSheetId="0">'TICS '!$A$1:$E$46</definedName>
    <definedName name="_xlnm.Print_Titles" localSheetId="5">'1'!$1:$2</definedName>
    <definedName name="_xlnm.Print_Titles" localSheetId="14">'10'!$1:$2</definedName>
    <definedName name="_xlnm.Print_Titles" localSheetId="15">'11'!$1:$2</definedName>
    <definedName name="_xlnm.Print_Titles" localSheetId="16">'12'!$1:$2</definedName>
    <definedName name="_xlnm.Print_Titles" localSheetId="17">'13'!$1:$2</definedName>
    <definedName name="_xlnm.Print_Titles" localSheetId="18">'14'!$1:$2</definedName>
    <definedName name="_xlnm.Print_Titles" localSheetId="6">'2'!$1:$2</definedName>
    <definedName name="_xlnm.Print_Titles" localSheetId="19">'21'!$1:$2</definedName>
    <definedName name="_xlnm.Print_Titles" localSheetId="20">'22'!$1:$2</definedName>
    <definedName name="_xlnm.Print_Titles" localSheetId="21">'23'!$1:$2</definedName>
    <definedName name="_xlnm.Print_Titles" localSheetId="22">'26.1'!$1:$2</definedName>
    <definedName name="_xlnm.Print_Titles" localSheetId="23">'26.2'!$1:$2</definedName>
    <definedName name="_xlnm.Print_Titles" localSheetId="24">'27'!$1:$2</definedName>
    <definedName name="_xlnm.Print_Titles" localSheetId="25">'28.1'!$1:$2</definedName>
    <definedName name="_xlnm.Print_Titles" localSheetId="26">'28.2'!$1:$2</definedName>
    <definedName name="_xlnm.Print_Titles" localSheetId="7">'3'!$1:$2</definedName>
    <definedName name="_xlnm.Print_Titles" localSheetId="27">'31'!$1:$2</definedName>
    <definedName name="_xlnm.Print_Titles" localSheetId="28">'32'!$1:$2</definedName>
    <definedName name="_xlnm.Print_Titles" localSheetId="29">'33'!$1:$2</definedName>
    <definedName name="_xlnm.Print_Titles" localSheetId="8">'4'!$1:$2</definedName>
    <definedName name="_xlnm.Print_Titles" localSheetId="9">'5'!$1:$2</definedName>
    <definedName name="_xlnm.Print_Titles" localSheetId="10">'6'!$1:$2</definedName>
    <definedName name="_xlnm.Print_Titles" localSheetId="11">'7'!$1:$2</definedName>
    <definedName name="_xlnm.Print_Titles" localSheetId="12">'8'!$1:$2</definedName>
    <definedName name="_xlnm.Print_Titles" localSheetId="13">'9'!$1:$2</definedName>
    <definedName name="_xlnm.Print_Titles" localSheetId="4">BSAC!$1:$2</definedName>
    <definedName name="TOTAL_RWA_COS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1" i="1" l="1"/>
  <c r="C50" i="1"/>
  <c r="A5" i="58"/>
  <c r="C39" i="1"/>
  <c r="C36" i="1"/>
  <c r="C34" i="1"/>
  <c r="I21" i="58" l="1"/>
  <c r="F21" i="58"/>
  <c r="I20" i="58"/>
  <c r="F20" i="58"/>
  <c r="I19" i="58"/>
  <c r="F19" i="58"/>
  <c r="I18" i="58"/>
  <c r="F18" i="58"/>
  <c r="I17" i="58"/>
  <c r="F17" i="58"/>
  <c r="I16" i="58"/>
  <c r="F16" i="58"/>
  <c r="I15" i="58"/>
  <c r="F15" i="58"/>
  <c r="I14" i="58"/>
  <c r="F14" i="58"/>
  <c r="I13" i="58"/>
  <c r="F13" i="58"/>
  <c r="I12" i="58"/>
  <c r="F12" i="58"/>
  <c r="I11" i="58"/>
  <c r="F11" i="58"/>
  <c r="I10" i="58"/>
  <c r="F10" i="58"/>
  <c r="I9" i="58"/>
  <c r="F9" i="58"/>
  <c r="I2" i="58"/>
  <c r="G2" i="58"/>
  <c r="F22" i="58" l="1"/>
  <c r="I22" i="58"/>
  <c r="I13" i="33"/>
  <c r="F13" i="33"/>
  <c r="F6" i="33"/>
  <c r="I23" i="58" l="1"/>
  <c r="D49" i="1" s="1"/>
  <c r="I13" i="32"/>
  <c r="F13" i="32"/>
  <c r="I18" i="32"/>
  <c r="F18" i="32"/>
  <c r="I16" i="32"/>
  <c r="F16" i="32"/>
  <c r="I12" i="32"/>
  <c r="F12" i="32"/>
  <c r="I11" i="32"/>
  <c r="F11" i="32"/>
  <c r="A4" i="1"/>
  <c r="G2" i="57"/>
  <c r="G2" i="55"/>
  <c r="G2" i="54"/>
  <c r="G2" i="53"/>
  <c r="G2" i="52"/>
  <c r="G2" i="51"/>
  <c r="G2" i="50"/>
  <c r="G2" i="49"/>
  <c r="G2" i="48"/>
  <c r="G2" i="47"/>
  <c r="G2" i="46"/>
  <c r="G2" i="45"/>
  <c r="G2" i="44"/>
  <c r="G2" i="43"/>
  <c r="G2" i="42"/>
  <c r="G2" i="41"/>
  <c r="G2" i="40"/>
  <c r="G2" i="39"/>
  <c r="G2" i="38"/>
  <c r="G2" i="37"/>
  <c r="G2" i="36"/>
  <c r="G2" i="35"/>
  <c r="G2" i="34"/>
  <c r="G2" i="33"/>
  <c r="G2" i="32"/>
  <c r="I2" i="57"/>
  <c r="I2" i="55"/>
  <c r="I2" i="54"/>
  <c r="I2" i="53"/>
  <c r="I2" i="52"/>
  <c r="I2" i="51"/>
  <c r="I2" i="50"/>
  <c r="I2" i="49"/>
  <c r="I2" i="48"/>
  <c r="I2" i="47"/>
  <c r="I2" i="46"/>
  <c r="I2" i="45"/>
  <c r="I2" i="44"/>
  <c r="I2" i="43"/>
  <c r="F14" i="43"/>
  <c r="F16" i="43"/>
  <c r="I2" i="42"/>
  <c r="I2" i="41"/>
  <c r="F10" i="41"/>
  <c r="I2" i="40"/>
  <c r="I2" i="39"/>
  <c r="I2" i="38"/>
  <c r="I2" i="37"/>
  <c r="I2" i="36"/>
  <c r="I2" i="35"/>
  <c r="I2" i="34"/>
  <c r="I2" i="33"/>
  <c r="I2" i="32"/>
  <c r="C3" i="1"/>
  <c r="C2" i="1"/>
  <c r="C4" i="1"/>
  <c r="C6" i="1"/>
  <c r="I36" i="57"/>
  <c r="F36" i="57"/>
  <c r="I35" i="57"/>
  <c r="F35" i="57"/>
  <c r="I34" i="57"/>
  <c r="F34" i="57"/>
  <c r="I33" i="57"/>
  <c r="F33" i="57"/>
  <c r="I32" i="57"/>
  <c r="F32" i="57"/>
  <c r="I31" i="57"/>
  <c r="F31" i="57"/>
  <c r="I30" i="57"/>
  <c r="F30" i="57"/>
  <c r="I29" i="57"/>
  <c r="F29" i="57"/>
  <c r="I28" i="57"/>
  <c r="F28" i="57"/>
  <c r="I27" i="57"/>
  <c r="F27" i="57"/>
  <c r="I26" i="57"/>
  <c r="F26" i="57"/>
  <c r="I25" i="57"/>
  <c r="F25" i="57"/>
  <c r="I24" i="57"/>
  <c r="I37" i="57" s="1"/>
  <c r="F24" i="57"/>
  <c r="I18" i="57"/>
  <c r="F18" i="57"/>
  <c r="I17" i="57"/>
  <c r="F17" i="57"/>
  <c r="I16" i="57"/>
  <c r="F16" i="57"/>
  <c r="I15" i="57"/>
  <c r="F15" i="57"/>
  <c r="I14" i="57"/>
  <c r="F14" i="57"/>
  <c r="I13" i="57"/>
  <c r="F13" i="57"/>
  <c r="I12" i="57"/>
  <c r="F12" i="57"/>
  <c r="I11" i="57"/>
  <c r="F11" i="57"/>
  <c r="I10" i="57"/>
  <c r="F10" i="57"/>
  <c r="I9" i="57"/>
  <c r="F9" i="57"/>
  <c r="I8" i="57"/>
  <c r="F8" i="57"/>
  <c r="I7" i="57"/>
  <c r="F7" i="57"/>
  <c r="I6" i="57"/>
  <c r="F6" i="57"/>
  <c r="I36" i="55"/>
  <c r="F36" i="55"/>
  <c r="I35" i="55"/>
  <c r="F35" i="55"/>
  <c r="I34" i="55"/>
  <c r="F34" i="55"/>
  <c r="I33" i="55"/>
  <c r="F33" i="55"/>
  <c r="I32" i="55"/>
  <c r="F32" i="55"/>
  <c r="I31" i="55"/>
  <c r="F31" i="55"/>
  <c r="I30" i="55"/>
  <c r="F30" i="55"/>
  <c r="I29" i="55"/>
  <c r="F29" i="55"/>
  <c r="I28" i="55"/>
  <c r="F28" i="55"/>
  <c r="I27" i="55"/>
  <c r="F27" i="55"/>
  <c r="I26" i="55"/>
  <c r="F26" i="55"/>
  <c r="I25" i="55"/>
  <c r="F25" i="55"/>
  <c r="I24" i="55"/>
  <c r="I37" i="55" s="1"/>
  <c r="F24" i="55"/>
  <c r="I18" i="55"/>
  <c r="F18" i="55"/>
  <c r="I17" i="55"/>
  <c r="F17" i="55"/>
  <c r="I16" i="55"/>
  <c r="F16" i="55"/>
  <c r="I15" i="55"/>
  <c r="F15" i="55"/>
  <c r="I14" i="55"/>
  <c r="F14" i="55"/>
  <c r="I13" i="55"/>
  <c r="F13" i="55"/>
  <c r="I12" i="55"/>
  <c r="F12" i="55"/>
  <c r="I11" i="55"/>
  <c r="F11" i="55"/>
  <c r="I10" i="55"/>
  <c r="F10" i="55"/>
  <c r="I9" i="55"/>
  <c r="F9" i="55"/>
  <c r="I8" i="55"/>
  <c r="F8" i="55"/>
  <c r="I7" i="55"/>
  <c r="F7" i="55"/>
  <c r="I6" i="55"/>
  <c r="F6" i="55"/>
  <c r="I36" i="54"/>
  <c r="F36" i="54"/>
  <c r="I35" i="54"/>
  <c r="F35" i="54"/>
  <c r="I34" i="54"/>
  <c r="F34" i="54"/>
  <c r="I33" i="54"/>
  <c r="F33" i="54"/>
  <c r="I32" i="54"/>
  <c r="F32" i="54"/>
  <c r="I31" i="54"/>
  <c r="F31" i="54"/>
  <c r="I30" i="54"/>
  <c r="F30" i="54"/>
  <c r="I29" i="54"/>
  <c r="F29" i="54"/>
  <c r="I28" i="54"/>
  <c r="F28" i="54"/>
  <c r="I27" i="54"/>
  <c r="F27" i="54"/>
  <c r="I26" i="54"/>
  <c r="F26" i="54"/>
  <c r="I25" i="54"/>
  <c r="F25" i="54"/>
  <c r="I24" i="54"/>
  <c r="I37" i="54" s="1"/>
  <c r="F24" i="54"/>
  <c r="I18" i="54"/>
  <c r="F18" i="54"/>
  <c r="I17" i="54"/>
  <c r="F17" i="54"/>
  <c r="I16" i="54"/>
  <c r="F16" i="54"/>
  <c r="I15" i="54"/>
  <c r="F15" i="54"/>
  <c r="I14" i="54"/>
  <c r="F14" i="54"/>
  <c r="I13" i="54"/>
  <c r="F13" i="54"/>
  <c r="I12" i="54"/>
  <c r="F12" i="54"/>
  <c r="I11" i="54"/>
  <c r="F11" i="54"/>
  <c r="I10" i="54"/>
  <c r="F10" i="54"/>
  <c r="I9" i="54"/>
  <c r="F9" i="54"/>
  <c r="I8" i="54"/>
  <c r="F8" i="54"/>
  <c r="I7" i="54"/>
  <c r="F7" i="54"/>
  <c r="I6" i="54"/>
  <c r="F6" i="54"/>
  <c r="I48" i="53"/>
  <c r="F48" i="53"/>
  <c r="I47" i="53"/>
  <c r="F47" i="53"/>
  <c r="I46" i="53"/>
  <c r="F46" i="53"/>
  <c r="I45" i="53"/>
  <c r="F45" i="53"/>
  <c r="I44" i="53"/>
  <c r="F44" i="53"/>
  <c r="I43" i="53"/>
  <c r="F43" i="53"/>
  <c r="I42" i="53"/>
  <c r="F42" i="53"/>
  <c r="I41" i="53"/>
  <c r="F41" i="53"/>
  <c r="I40" i="53"/>
  <c r="F40" i="53"/>
  <c r="I39" i="53"/>
  <c r="F39" i="53"/>
  <c r="I38" i="53"/>
  <c r="F38" i="53"/>
  <c r="I37" i="53"/>
  <c r="F37" i="53"/>
  <c r="I36" i="53"/>
  <c r="I49" i="53" s="1"/>
  <c r="F36" i="53"/>
  <c r="I30" i="53"/>
  <c r="F30" i="53"/>
  <c r="I29" i="53"/>
  <c r="F29" i="53"/>
  <c r="I28" i="53"/>
  <c r="F28" i="53"/>
  <c r="I27" i="53"/>
  <c r="F27" i="53"/>
  <c r="I26" i="53"/>
  <c r="F26" i="53"/>
  <c r="I25" i="53"/>
  <c r="F25" i="53"/>
  <c r="I24" i="53"/>
  <c r="F24" i="53"/>
  <c r="I23" i="53"/>
  <c r="F23" i="53"/>
  <c r="I22" i="53"/>
  <c r="F22" i="53"/>
  <c r="I21" i="53"/>
  <c r="F21" i="53"/>
  <c r="I20" i="53"/>
  <c r="F20" i="53"/>
  <c r="I19" i="53"/>
  <c r="F19" i="53"/>
  <c r="I18" i="53"/>
  <c r="F18" i="53"/>
  <c r="I17" i="53"/>
  <c r="F17" i="53"/>
  <c r="I16" i="53"/>
  <c r="F16" i="53"/>
  <c r="I15" i="53"/>
  <c r="F15" i="53"/>
  <c r="I14" i="53"/>
  <c r="F14" i="53"/>
  <c r="I13" i="53"/>
  <c r="F13" i="53"/>
  <c r="I12" i="53"/>
  <c r="F12" i="53"/>
  <c r="I11" i="53"/>
  <c r="F11" i="53"/>
  <c r="I10" i="53"/>
  <c r="F10" i="53"/>
  <c r="I9" i="53"/>
  <c r="F9" i="53"/>
  <c r="I8" i="53"/>
  <c r="F8" i="53"/>
  <c r="I7" i="53"/>
  <c r="F7" i="53"/>
  <c r="I6" i="53"/>
  <c r="F6" i="53"/>
  <c r="I48" i="52"/>
  <c r="F48" i="52"/>
  <c r="I47" i="52"/>
  <c r="F47" i="52"/>
  <c r="I46" i="52"/>
  <c r="F46" i="52"/>
  <c r="I45" i="52"/>
  <c r="F45" i="52"/>
  <c r="I44" i="52"/>
  <c r="F44" i="52"/>
  <c r="I43" i="52"/>
  <c r="F43" i="52"/>
  <c r="I42" i="52"/>
  <c r="F42" i="52"/>
  <c r="I41" i="52"/>
  <c r="F41" i="52"/>
  <c r="I40" i="52"/>
  <c r="F40" i="52"/>
  <c r="I39" i="52"/>
  <c r="F39" i="52"/>
  <c r="I38" i="52"/>
  <c r="F38" i="52"/>
  <c r="I37" i="52"/>
  <c r="F37" i="52"/>
  <c r="I36" i="52"/>
  <c r="I49" i="52" s="1"/>
  <c r="F36" i="52"/>
  <c r="F49" i="52" s="1"/>
  <c r="I30" i="52"/>
  <c r="F30" i="52"/>
  <c r="I29" i="52"/>
  <c r="F29" i="52"/>
  <c r="I28" i="52"/>
  <c r="F28" i="52"/>
  <c r="I27" i="52"/>
  <c r="F27" i="52"/>
  <c r="I26" i="52"/>
  <c r="F26" i="52"/>
  <c r="I25" i="52"/>
  <c r="F25" i="52"/>
  <c r="I24" i="52"/>
  <c r="F24" i="52"/>
  <c r="I23" i="52"/>
  <c r="F23" i="52"/>
  <c r="I22" i="52"/>
  <c r="F22" i="52"/>
  <c r="I21" i="52"/>
  <c r="F21" i="52"/>
  <c r="I20" i="52"/>
  <c r="F20" i="52"/>
  <c r="I19" i="52"/>
  <c r="F19" i="52"/>
  <c r="I18" i="52"/>
  <c r="F18" i="52"/>
  <c r="I17" i="52"/>
  <c r="F17" i="52"/>
  <c r="I16" i="52"/>
  <c r="F16" i="52"/>
  <c r="I15" i="52"/>
  <c r="F15" i="52"/>
  <c r="I14" i="52"/>
  <c r="F14" i="52"/>
  <c r="I13" i="52"/>
  <c r="F13" i="52"/>
  <c r="I12" i="52"/>
  <c r="F12" i="52"/>
  <c r="I11" i="52"/>
  <c r="F11" i="52"/>
  <c r="I10" i="52"/>
  <c r="F10" i="52"/>
  <c r="I9" i="52"/>
  <c r="F9" i="52"/>
  <c r="I8" i="52"/>
  <c r="F8" i="52"/>
  <c r="I7" i="52"/>
  <c r="F7" i="52"/>
  <c r="I6" i="52"/>
  <c r="I31" i="52" s="1"/>
  <c r="F6" i="52"/>
  <c r="I48" i="51"/>
  <c r="F48" i="51"/>
  <c r="I47" i="51"/>
  <c r="F47" i="51"/>
  <c r="I46" i="51"/>
  <c r="F46" i="51"/>
  <c r="I45" i="51"/>
  <c r="F45" i="51"/>
  <c r="I44" i="51"/>
  <c r="F44" i="51"/>
  <c r="I43" i="51"/>
  <c r="F43" i="51"/>
  <c r="I42" i="51"/>
  <c r="F42" i="51"/>
  <c r="I41" i="51"/>
  <c r="F41" i="51"/>
  <c r="I40" i="51"/>
  <c r="F40" i="51"/>
  <c r="I39" i="51"/>
  <c r="F39" i="51"/>
  <c r="I38" i="51"/>
  <c r="F38" i="51"/>
  <c r="I37" i="51"/>
  <c r="F37" i="51"/>
  <c r="I36" i="51"/>
  <c r="I49" i="51" s="1"/>
  <c r="F36" i="51"/>
  <c r="I30" i="51"/>
  <c r="F30" i="51"/>
  <c r="I29" i="51"/>
  <c r="F29" i="51"/>
  <c r="I28" i="51"/>
  <c r="F28" i="51"/>
  <c r="I27" i="51"/>
  <c r="F27" i="51"/>
  <c r="I26" i="51"/>
  <c r="F26" i="51"/>
  <c r="I25" i="51"/>
  <c r="F25" i="51"/>
  <c r="I24" i="51"/>
  <c r="F24" i="51"/>
  <c r="I23" i="51"/>
  <c r="F23" i="51"/>
  <c r="I22" i="51"/>
  <c r="F22" i="51"/>
  <c r="I21" i="51"/>
  <c r="F21" i="51"/>
  <c r="I20" i="51"/>
  <c r="F20" i="51"/>
  <c r="I19" i="51"/>
  <c r="F19" i="51"/>
  <c r="I18" i="51"/>
  <c r="F18" i="51"/>
  <c r="I17" i="51"/>
  <c r="F17" i="51"/>
  <c r="I16" i="51"/>
  <c r="F16" i="51"/>
  <c r="I15" i="51"/>
  <c r="F15" i="51"/>
  <c r="I14" i="51"/>
  <c r="F14" i="51"/>
  <c r="I13" i="51"/>
  <c r="F13" i="51"/>
  <c r="I12" i="51"/>
  <c r="F12" i="51"/>
  <c r="I11" i="51"/>
  <c r="F11" i="51"/>
  <c r="I10" i="51"/>
  <c r="F10" i="51"/>
  <c r="I9" i="51"/>
  <c r="F9" i="51"/>
  <c r="I8" i="51"/>
  <c r="F8" i="51"/>
  <c r="I7" i="51"/>
  <c r="F7" i="51"/>
  <c r="I6" i="51"/>
  <c r="F6" i="51"/>
  <c r="I48" i="50"/>
  <c r="F48" i="50"/>
  <c r="I47" i="50"/>
  <c r="F47" i="50"/>
  <c r="I46" i="50"/>
  <c r="F46" i="50"/>
  <c r="I45" i="50"/>
  <c r="F45" i="50"/>
  <c r="I44" i="50"/>
  <c r="F44" i="50"/>
  <c r="I43" i="50"/>
  <c r="F43" i="50"/>
  <c r="I42" i="50"/>
  <c r="F42" i="50"/>
  <c r="I41" i="50"/>
  <c r="F41" i="50"/>
  <c r="I40" i="50"/>
  <c r="F40" i="50"/>
  <c r="I39" i="50"/>
  <c r="F39" i="50"/>
  <c r="I38" i="50"/>
  <c r="F38" i="50"/>
  <c r="I37" i="50"/>
  <c r="F37" i="50"/>
  <c r="I36" i="50"/>
  <c r="I49" i="50" s="1"/>
  <c r="F36" i="50"/>
  <c r="I30" i="50"/>
  <c r="F30" i="50"/>
  <c r="I29" i="50"/>
  <c r="F29" i="50"/>
  <c r="I28" i="50"/>
  <c r="F28" i="50"/>
  <c r="I27" i="50"/>
  <c r="F27" i="50"/>
  <c r="I26" i="50"/>
  <c r="F26" i="50"/>
  <c r="I25" i="50"/>
  <c r="F25" i="50"/>
  <c r="I24" i="50"/>
  <c r="F24" i="50"/>
  <c r="I23" i="50"/>
  <c r="F23" i="50"/>
  <c r="I22" i="50"/>
  <c r="F22" i="50"/>
  <c r="I21" i="50"/>
  <c r="F21" i="50"/>
  <c r="I20" i="50"/>
  <c r="F20" i="50"/>
  <c r="I19" i="50"/>
  <c r="F19" i="50"/>
  <c r="I18" i="50"/>
  <c r="F18" i="50"/>
  <c r="I17" i="50"/>
  <c r="F17" i="50"/>
  <c r="I16" i="50"/>
  <c r="F16" i="50"/>
  <c r="I15" i="50"/>
  <c r="F15" i="50"/>
  <c r="I14" i="50"/>
  <c r="F14" i="50"/>
  <c r="I13" i="50"/>
  <c r="F13" i="50"/>
  <c r="I12" i="50"/>
  <c r="F12" i="50"/>
  <c r="I11" i="50"/>
  <c r="F11" i="50"/>
  <c r="I10" i="50"/>
  <c r="F10" i="50"/>
  <c r="I9" i="50"/>
  <c r="F9" i="50"/>
  <c r="I8" i="50"/>
  <c r="F8" i="50"/>
  <c r="I7" i="50"/>
  <c r="F7" i="50"/>
  <c r="I6" i="50"/>
  <c r="F6" i="50"/>
  <c r="I48" i="49"/>
  <c r="F48" i="49"/>
  <c r="I47" i="49"/>
  <c r="F47" i="49"/>
  <c r="I46" i="49"/>
  <c r="F46" i="49"/>
  <c r="I45" i="49"/>
  <c r="F45" i="49"/>
  <c r="I44" i="49"/>
  <c r="F44" i="49"/>
  <c r="I43" i="49"/>
  <c r="F43" i="49"/>
  <c r="I42" i="49"/>
  <c r="F42" i="49"/>
  <c r="I41" i="49"/>
  <c r="F41" i="49"/>
  <c r="I40" i="49"/>
  <c r="F40" i="49"/>
  <c r="I39" i="49"/>
  <c r="F39" i="49"/>
  <c r="I38" i="49"/>
  <c r="F38" i="49"/>
  <c r="I37" i="49"/>
  <c r="F37" i="49"/>
  <c r="I36" i="49"/>
  <c r="I49" i="49" s="1"/>
  <c r="F36" i="49"/>
  <c r="I30" i="49"/>
  <c r="F30" i="49"/>
  <c r="I29" i="49"/>
  <c r="F29" i="49"/>
  <c r="I28" i="49"/>
  <c r="F28" i="49"/>
  <c r="I27" i="49"/>
  <c r="F27" i="49"/>
  <c r="I26" i="49"/>
  <c r="F26" i="49"/>
  <c r="I25" i="49"/>
  <c r="F25" i="49"/>
  <c r="I24" i="49"/>
  <c r="F24" i="49"/>
  <c r="I23" i="49"/>
  <c r="F23" i="49"/>
  <c r="I22" i="49"/>
  <c r="F22" i="49"/>
  <c r="I21" i="49"/>
  <c r="F21" i="49"/>
  <c r="I20" i="49"/>
  <c r="F20" i="49"/>
  <c r="I19" i="49"/>
  <c r="F19" i="49"/>
  <c r="I18" i="49"/>
  <c r="F18" i="49"/>
  <c r="I17" i="49"/>
  <c r="F17" i="49"/>
  <c r="I16" i="49"/>
  <c r="F16" i="49"/>
  <c r="I15" i="49"/>
  <c r="F15" i="49"/>
  <c r="I14" i="49"/>
  <c r="F14" i="49"/>
  <c r="I13" i="49"/>
  <c r="F13" i="49"/>
  <c r="I12" i="49"/>
  <c r="F12" i="49"/>
  <c r="I11" i="49"/>
  <c r="F11" i="49"/>
  <c r="I10" i="49"/>
  <c r="F10" i="49"/>
  <c r="I9" i="49"/>
  <c r="F9" i="49"/>
  <c r="I8" i="49"/>
  <c r="F8" i="49"/>
  <c r="I7" i="49"/>
  <c r="F7" i="49"/>
  <c r="I6" i="49"/>
  <c r="I31" i="49" s="1"/>
  <c r="F6" i="49"/>
  <c r="I48" i="48"/>
  <c r="F48" i="48"/>
  <c r="I47" i="48"/>
  <c r="F47" i="48"/>
  <c r="I46" i="48"/>
  <c r="F46" i="48"/>
  <c r="I45" i="48"/>
  <c r="F45" i="48"/>
  <c r="I44" i="48"/>
  <c r="F44" i="48"/>
  <c r="I43" i="48"/>
  <c r="F43" i="48"/>
  <c r="I42" i="48"/>
  <c r="F42" i="48"/>
  <c r="I41" i="48"/>
  <c r="F41" i="48"/>
  <c r="I40" i="48"/>
  <c r="F40" i="48"/>
  <c r="I39" i="48"/>
  <c r="F39" i="48"/>
  <c r="I38" i="48"/>
  <c r="F38" i="48"/>
  <c r="I37" i="48"/>
  <c r="F37" i="48"/>
  <c r="I36" i="48"/>
  <c r="I49" i="48" s="1"/>
  <c r="F36" i="48"/>
  <c r="F49" i="48" s="1"/>
  <c r="I30" i="48"/>
  <c r="F30" i="48"/>
  <c r="I29" i="48"/>
  <c r="F29" i="48"/>
  <c r="I28" i="48"/>
  <c r="F28" i="48"/>
  <c r="I27" i="48"/>
  <c r="F27" i="48"/>
  <c r="I26" i="48"/>
  <c r="F26" i="48"/>
  <c r="I25" i="48"/>
  <c r="F25" i="48"/>
  <c r="I24" i="48"/>
  <c r="F24" i="48"/>
  <c r="I23" i="48"/>
  <c r="F23" i="48"/>
  <c r="I22" i="48"/>
  <c r="F22" i="48"/>
  <c r="I21" i="48"/>
  <c r="F21" i="48"/>
  <c r="I20" i="48"/>
  <c r="F20" i="48"/>
  <c r="I19" i="48"/>
  <c r="F19" i="48"/>
  <c r="I18" i="48"/>
  <c r="F18" i="48"/>
  <c r="I17" i="48"/>
  <c r="F17" i="48"/>
  <c r="I16" i="48"/>
  <c r="F16" i="48"/>
  <c r="I15" i="48"/>
  <c r="F15" i="48"/>
  <c r="I14" i="48"/>
  <c r="F14" i="48"/>
  <c r="I13" i="48"/>
  <c r="F13" i="48"/>
  <c r="I12" i="48"/>
  <c r="F12" i="48"/>
  <c r="I11" i="48"/>
  <c r="F11" i="48"/>
  <c r="I10" i="48"/>
  <c r="F10" i="48"/>
  <c r="I9" i="48"/>
  <c r="F9" i="48"/>
  <c r="I8" i="48"/>
  <c r="F8" i="48"/>
  <c r="I7" i="48"/>
  <c r="F7" i="48"/>
  <c r="I6" i="48"/>
  <c r="I31" i="48" s="1"/>
  <c r="F6" i="48"/>
  <c r="I48" i="47"/>
  <c r="F48" i="47"/>
  <c r="I47" i="47"/>
  <c r="F47" i="47"/>
  <c r="I46" i="47"/>
  <c r="F46" i="47"/>
  <c r="I45" i="47"/>
  <c r="F45" i="47"/>
  <c r="I44" i="47"/>
  <c r="F44" i="47"/>
  <c r="I43" i="47"/>
  <c r="F43" i="47"/>
  <c r="I42" i="47"/>
  <c r="F42" i="47"/>
  <c r="I41" i="47"/>
  <c r="F41" i="47"/>
  <c r="I40" i="47"/>
  <c r="F40" i="47"/>
  <c r="I39" i="47"/>
  <c r="F39" i="47"/>
  <c r="I38" i="47"/>
  <c r="F38" i="47"/>
  <c r="I37" i="47"/>
  <c r="F37" i="47"/>
  <c r="I36" i="47"/>
  <c r="I49" i="47" s="1"/>
  <c r="F36" i="47"/>
  <c r="I30" i="47"/>
  <c r="F30" i="47"/>
  <c r="I29" i="47"/>
  <c r="F29" i="47"/>
  <c r="I28" i="47"/>
  <c r="F28" i="47"/>
  <c r="I27" i="47"/>
  <c r="F27" i="47"/>
  <c r="I26" i="47"/>
  <c r="F26" i="47"/>
  <c r="I25" i="47"/>
  <c r="F25" i="47"/>
  <c r="I24" i="47"/>
  <c r="F24" i="47"/>
  <c r="I23" i="47"/>
  <c r="F23" i="47"/>
  <c r="I22" i="47"/>
  <c r="F22" i="47"/>
  <c r="I21" i="47"/>
  <c r="F21" i="47"/>
  <c r="I20" i="47"/>
  <c r="F20" i="47"/>
  <c r="I19" i="47"/>
  <c r="F19" i="47"/>
  <c r="I18" i="47"/>
  <c r="F18" i="47"/>
  <c r="I17" i="47"/>
  <c r="F17" i="47"/>
  <c r="I16" i="47"/>
  <c r="F16" i="47"/>
  <c r="I15" i="47"/>
  <c r="F15" i="47"/>
  <c r="I14" i="47"/>
  <c r="F14" i="47"/>
  <c r="I13" i="47"/>
  <c r="F13" i="47"/>
  <c r="I12" i="47"/>
  <c r="F12" i="47"/>
  <c r="I11" i="47"/>
  <c r="F11" i="47"/>
  <c r="I10" i="47"/>
  <c r="F10" i="47"/>
  <c r="I9" i="47"/>
  <c r="F9" i="47"/>
  <c r="I8" i="47"/>
  <c r="F8" i="47"/>
  <c r="I7" i="47"/>
  <c r="F7" i="47"/>
  <c r="I6" i="47"/>
  <c r="F6" i="47"/>
  <c r="I36" i="46"/>
  <c r="F36" i="46"/>
  <c r="I35" i="46"/>
  <c r="F35" i="46"/>
  <c r="I34" i="46"/>
  <c r="F34" i="46"/>
  <c r="I33" i="46"/>
  <c r="F33" i="46"/>
  <c r="I32" i="46"/>
  <c r="F32" i="46"/>
  <c r="I31" i="46"/>
  <c r="F31" i="46"/>
  <c r="I30" i="46"/>
  <c r="F30" i="46"/>
  <c r="I29" i="46"/>
  <c r="F29" i="46"/>
  <c r="I28" i="46"/>
  <c r="F28" i="46"/>
  <c r="I27" i="46"/>
  <c r="F27" i="46"/>
  <c r="I26" i="46"/>
  <c r="F26" i="46"/>
  <c r="I25" i="46"/>
  <c r="F25" i="46"/>
  <c r="I24" i="46"/>
  <c r="I37" i="46" s="1"/>
  <c r="F24" i="46"/>
  <c r="I18" i="46"/>
  <c r="F18" i="46"/>
  <c r="I17" i="46"/>
  <c r="F17" i="46"/>
  <c r="I16" i="46"/>
  <c r="F16" i="46"/>
  <c r="I15" i="46"/>
  <c r="F15" i="46"/>
  <c r="I14" i="46"/>
  <c r="F14" i="46"/>
  <c r="I13" i="46"/>
  <c r="F13" i="46"/>
  <c r="I12" i="46"/>
  <c r="F12" i="46"/>
  <c r="I11" i="46"/>
  <c r="F11" i="46"/>
  <c r="I10" i="46"/>
  <c r="F10" i="46"/>
  <c r="I9" i="46"/>
  <c r="F9" i="46"/>
  <c r="I8" i="46"/>
  <c r="F8" i="46"/>
  <c r="I7" i="46"/>
  <c r="F7" i="46"/>
  <c r="I6" i="46"/>
  <c r="F6" i="46"/>
  <c r="I36" i="45"/>
  <c r="F36" i="45"/>
  <c r="I35" i="45"/>
  <c r="F35" i="45"/>
  <c r="I34" i="45"/>
  <c r="F34" i="45"/>
  <c r="I33" i="45"/>
  <c r="F33" i="45"/>
  <c r="I32" i="45"/>
  <c r="F32" i="45"/>
  <c r="I31" i="45"/>
  <c r="F31" i="45"/>
  <c r="I30" i="45"/>
  <c r="F30" i="45"/>
  <c r="I29" i="45"/>
  <c r="F29" i="45"/>
  <c r="I28" i="45"/>
  <c r="F28" i="45"/>
  <c r="I27" i="45"/>
  <c r="F27" i="45"/>
  <c r="I26" i="45"/>
  <c r="F26" i="45"/>
  <c r="I25" i="45"/>
  <c r="F25" i="45"/>
  <c r="I24" i="45"/>
  <c r="I37" i="45" s="1"/>
  <c r="F24" i="45"/>
  <c r="I18" i="45"/>
  <c r="F18" i="45"/>
  <c r="I17" i="45"/>
  <c r="F17" i="45"/>
  <c r="I16" i="45"/>
  <c r="F16" i="45"/>
  <c r="I15" i="45"/>
  <c r="F15" i="45"/>
  <c r="I14" i="45"/>
  <c r="F14" i="45"/>
  <c r="I13" i="45"/>
  <c r="F13" i="45"/>
  <c r="I12" i="45"/>
  <c r="F12" i="45"/>
  <c r="I11" i="45"/>
  <c r="F11" i="45"/>
  <c r="I10" i="45"/>
  <c r="F10" i="45"/>
  <c r="I9" i="45"/>
  <c r="F9" i="45"/>
  <c r="I8" i="45"/>
  <c r="F8" i="45"/>
  <c r="I7" i="45"/>
  <c r="F7" i="45"/>
  <c r="I6" i="45"/>
  <c r="F6" i="45"/>
  <c r="I36" i="44"/>
  <c r="F36" i="44"/>
  <c r="I35" i="44"/>
  <c r="F35" i="44"/>
  <c r="I34" i="44"/>
  <c r="F34" i="44"/>
  <c r="I33" i="44"/>
  <c r="F33" i="44"/>
  <c r="I32" i="44"/>
  <c r="F32" i="44"/>
  <c r="I31" i="44"/>
  <c r="F31" i="44"/>
  <c r="I30" i="44"/>
  <c r="F30" i="44"/>
  <c r="I29" i="44"/>
  <c r="F29" i="44"/>
  <c r="I28" i="44"/>
  <c r="F28" i="44"/>
  <c r="I27" i="44"/>
  <c r="F27" i="44"/>
  <c r="I26" i="44"/>
  <c r="F26" i="44"/>
  <c r="I25" i="44"/>
  <c r="F25" i="44"/>
  <c r="I24" i="44"/>
  <c r="I37" i="44" s="1"/>
  <c r="F24" i="44"/>
  <c r="I18" i="44"/>
  <c r="F18" i="44"/>
  <c r="I17" i="44"/>
  <c r="F17" i="44"/>
  <c r="I16" i="44"/>
  <c r="F16" i="44"/>
  <c r="I15" i="44"/>
  <c r="F15" i="44"/>
  <c r="I14" i="44"/>
  <c r="F14" i="44"/>
  <c r="I13" i="44"/>
  <c r="F13" i="44"/>
  <c r="I12" i="44"/>
  <c r="F12" i="44"/>
  <c r="I11" i="44"/>
  <c r="F11" i="44"/>
  <c r="I10" i="44"/>
  <c r="F10" i="44"/>
  <c r="I9" i="44"/>
  <c r="F9" i="44"/>
  <c r="I8" i="44"/>
  <c r="F8" i="44"/>
  <c r="I7" i="44"/>
  <c r="F7" i="44"/>
  <c r="I6" i="44"/>
  <c r="F6" i="44"/>
  <c r="I48" i="43"/>
  <c r="F48" i="43"/>
  <c r="I47" i="43"/>
  <c r="F47" i="43"/>
  <c r="I46" i="43"/>
  <c r="F46" i="43"/>
  <c r="I45" i="43"/>
  <c r="F45" i="43"/>
  <c r="I44" i="43"/>
  <c r="F44" i="43"/>
  <c r="I43" i="43"/>
  <c r="F43" i="43"/>
  <c r="I42" i="43"/>
  <c r="F42" i="43"/>
  <c r="I41" i="43"/>
  <c r="F41" i="43"/>
  <c r="I40" i="43"/>
  <c r="F40" i="43"/>
  <c r="I39" i="43"/>
  <c r="F39" i="43"/>
  <c r="I38" i="43"/>
  <c r="F38" i="43"/>
  <c r="I37" i="43"/>
  <c r="F37" i="43"/>
  <c r="I36" i="43"/>
  <c r="F36" i="43"/>
  <c r="I30" i="43"/>
  <c r="F30" i="43"/>
  <c r="I29" i="43"/>
  <c r="F29" i="43"/>
  <c r="I28" i="43"/>
  <c r="F28" i="43"/>
  <c r="I27" i="43"/>
  <c r="F27" i="43"/>
  <c r="I26" i="43"/>
  <c r="F26" i="43"/>
  <c r="I25" i="43"/>
  <c r="F25" i="43"/>
  <c r="I24" i="43"/>
  <c r="F24" i="43"/>
  <c r="I23" i="43"/>
  <c r="F23" i="43"/>
  <c r="I22" i="43"/>
  <c r="F22" i="43"/>
  <c r="I21" i="43"/>
  <c r="F21" i="43"/>
  <c r="I20" i="43"/>
  <c r="F20" i="43"/>
  <c r="I19" i="43"/>
  <c r="F19" i="43"/>
  <c r="I18" i="43"/>
  <c r="F18" i="43"/>
  <c r="I17" i="43"/>
  <c r="F17" i="43"/>
  <c r="I16" i="43"/>
  <c r="I15" i="43"/>
  <c r="F15" i="43"/>
  <c r="I14" i="43"/>
  <c r="I13" i="43"/>
  <c r="F13" i="43"/>
  <c r="I12" i="43"/>
  <c r="F12" i="43"/>
  <c r="I11" i="43"/>
  <c r="F11" i="43"/>
  <c r="I10" i="43"/>
  <c r="F10" i="43"/>
  <c r="I9" i="43"/>
  <c r="F9" i="43"/>
  <c r="I8" i="43"/>
  <c r="F8" i="43"/>
  <c r="I7" i="43"/>
  <c r="I31" i="43" s="1"/>
  <c r="F7" i="43"/>
  <c r="I6" i="43"/>
  <c r="F6" i="43"/>
  <c r="I36" i="42"/>
  <c r="F36" i="42"/>
  <c r="I35" i="42"/>
  <c r="F35" i="42"/>
  <c r="I34" i="42"/>
  <c r="F34" i="42"/>
  <c r="I33" i="42"/>
  <c r="F33" i="42"/>
  <c r="I32" i="42"/>
  <c r="F32" i="42"/>
  <c r="I31" i="42"/>
  <c r="F31" i="42"/>
  <c r="I30" i="42"/>
  <c r="F30" i="42"/>
  <c r="I29" i="42"/>
  <c r="F29" i="42"/>
  <c r="I28" i="42"/>
  <c r="F28" i="42"/>
  <c r="I27" i="42"/>
  <c r="F27" i="42"/>
  <c r="I26" i="42"/>
  <c r="F26" i="42"/>
  <c r="I25" i="42"/>
  <c r="F25" i="42"/>
  <c r="I24" i="42"/>
  <c r="I37" i="42" s="1"/>
  <c r="F24" i="42"/>
  <c r="I18" i="42"/>
  <c r="F18" i="42"/>
  <c r="I17" i="42"/>
  <c r="F17" i="42"/>
  <c r="I16" i="42"/>
  <c r="F16" i="42"/>
  <c r="I15" i="42"/>
  <c r="F15" i="42"/>
  <c r="I14" i="42"/>
  <c r="F14" i="42"/>
  <c r="I13" i="42"/>
  <c r="F13" i="42"/>
  <c r="I12" i="42"/>
  <c r="F12" i="42"/>
  <c r="I11" i="42"/>
  <c r="F11" i="42"/>
  <c r="I10" i="42"/>
  <c r="F10" i="42"/>
  <c r="I9" i="42"/>
  <c r="F9" i="42"/>
  <c r="I8" i="42"/>
  <c r="F8" i="42"/>
  <c r="I7" i="42"/>
  <c r="F7" i="42"/>
  <c r="I6" i="42"/>
  <c r="F6" i="42"/>
  <c r="I36" i="41"/>
  <c r="F36" i="41"/>
  <c r="I35" i="41"/>
  <c r="F35" i="41"/>
  <c r="I34" i="41"/>
  <c r="F34" i="41"/>
  <c r="I33" i="41"/>
  <c r="F33" i="41"/>
  <c r="I32" i="41"/>
  <c r="F32" i="41"/>
  <c r="I31" i="41"/>
  <c r="F31" i="41"/>
  <c r="I30" i="41"/>
  <c r="F30" i="41"/>
  <c r="I29" i="41"/>
  <c r="F29" i="41"/>
  <c r="I28" i="41"/>
  <c r="F28" i="41"/>
  <c r="I27" i="41"/>
  <c r="F27" i="41"/>
  <c r="I26" i="41"/>
  <c r="F26" i="41"/>
  <c r="I25" i="41"/>
  <c r="F25" i="41"/>
  <c r="I24" i="41"/>
  <c r="I37" i="41" s="1"/>
  <c r="F24" i="41"/>
  <c r="I18" i="41"/>
  <c r="F18" i="41"/>
  <c r="I17" i="41"/>
  <c r="F17" i="41"/>
  <c r="I16" i="41"/>
  <c r="F16" i="41"/>
  <c r="I15" i="41"/>
  <c r="F15" i="41"/>
  <c r="I14" i="41"/>
  <c r="F14" i="41"/>
  <c r="I13" i="41"/>
  <c r="F13" i="41"/>
  <c r="I12" i="41"/>
  <c r="F12" i="41"/>
  <c r="I11" i="41"/>
  <c r="F11" i="41"/>
  <c r="I10" i="41"/>
  <c r="I9" i="41"/>
  <c r="F9" i="41"/>
  <c r="I8" i="41"/>
  <c r="F8" i="41"/>
  <c r="I7" i="41"/>
  <c r="F7" i="41"/>
  <c r="I6" i="41"/>
  <c r="F6" i="41"/>
  <c r="I58" i="40"/>
  <c r="F58" i="40"/>
  <c r="I57" i="40"/>
  <c r="F57" i="40"/>
  <c r="I56" i="40"/>
  <c r="F56" i="40"/>
  <c r="I55" i="40"/>
  <c r="F55" i="40"/>
  <c r="I54" i="40"/>
  <c r="F54" i="40"/>
  <c r="I53" i="40"/>
  <c r="F53" i="40"/>
  <c r="I52" i="40"/>
  <c r="F52" i="40"/>
  <c r="I51" i="40"/>
  <c r="F51" i="40"/>
  <c r="I50" i="40"/>
  <c r="F50" i="40"/>
  <c r="I49" i="40"/>
  <c r="F49" i="40"/>
  <c r="I48" i="40"/>
  <c r="F48" i="40"/>
  <c r="I47" i="40"/>
  <c r="F47" i="40"/>
  <c r="I46" i="40"/>
  <c r="F46" i="40"/>
  <c r="I45" i="40"/>
  <c r="F45" i="40"/>
  <c r="I44" i="40"/>
  <c r="F44" i="40"/>
  <c r="I43" i="40"/>
  <c r="F43" i="40"/>
  <c r="I42" i="40"/>
  <c r="F42" i="40"/>
  <c r="I41" i="40"/>
  <c r="F41" i="40"/>
  <c r="I40" i="40"/>
  <c r="F40" i="40"/>
  <c r="I39" i="40"/>
  <c r="F39" i="40"/>
  <c r="I38" i="40"/>
  <c r="F38" i="40"/>
  <c r="I37" i="40"/>
  <c r="F37" i="40"/>
  <c r="I36" i="40"/>
  <c r="I59" i="40" s="1"/>
  <c r="F36" i="40"/>
  <c r="I30" i="40"/>
  <c r="F30" i="40"/>
  <c r="I29" i="40"/>
  <c r="F29" i="40"/>
  <c r="I28" i="40"/>
  <c r="F28" i="40"/>
  <c r="I27" i="40"/>
  <c r="F27" i="40"/>
  <c r="I26" i="40"/>
  <c r="F26" i="40"/>
  <c r="I25" i="40"/>
  <c r="F25" i="40"/>
  <c r="I24" i="40"/>
  <c r="F24" i="40"/>
  <c r="I23" i="40"/>
  <c r="F23" i="40"/>
  <c r="I22" i="40"/>
  <c r="F22" i="40"/>
  <c r="I21" i="40"/>
  <c r="F21" i="40"/>
  <c r="I20" i="40"/>
  <c r="F20" i="40"/>
  <c r="I19" i="40"/>
  <c r="F19" i="40"/>
  <c r="I18" i="40"/>
  <c r="F18" i="40"/>
  <c r="I17" i="40"/>
  <c r="F17" i="40"/>
  <c r="I16" i="40"/>
  <c r="F16" i="40"/>
  <c r="I15" i="40"/>
  <c r="F15" i="40"/>
  <c r="I14" i="40"/>
  <c r="F14" i="40"/>
  <c r="I13" i="40"/>
  <c r="F13" i="40"/>
  <c r="I12" i="40"/>
  <c r="F12" i="40"/>
  <c r="I11" i="40"/>
  <c r="F11" i="40"/>
  <c r="I10" i="40"/>
  <c r="F10" i="40"/>
  <c r="I9" i="40"/>
  <c r="F9" i="40"/>
  <c r="I8" i="40"/>
  <c r="F8" i="40"/>
  <c r="I7" i="40"/>
  <c r="F7" i="40"/>
  <c r="I6" i="40"/>
  <c r="F6" i="40"/>
  <c r="I38" i="39"/>
  <c r="I39" i="39"/>
  <c r="I40" i="39"/>
  <c r="I41" i="39"/>
  <c r="I42" i="39"/>
  <c r="I43" i="39"/>
  <c r="I44" i="39"/>
  <c r="I45" i="39"/>
  <c r="I46" i="39"/>
  <c r="I47" i="39"/>
  <c r="F38" i="39"/>
  <c r="F39" i="39"/>
  <c r="F40" i="39"/>
  <c r="F41" i="39"/>
  <c r="F42" i="39"/>
  <c r="F43" i="39"/>
  <c r="F44" i="39"/>
  <c r="F45" i="39"/>
  <c r="F46" i="39"/>
  <c r="F47" i="39"/>
  <c r="I11" i="39"/>
  <c r="I12" i="39"/>
  <c r="I13" i="39"/>
  <c r="I14" i="39"/>
  <c r="I15" i="39"/>
  <c r="I16" i="39"/>
  <c r="I17" i="39"/>
  <c r="I18" i="39"/>
  <c r="I19" i="39"/>
  <c r="I20" i="39"/>
  <c r="I21" i="39"/>
  <c r="I22" i="39"/>
  <c r="I23" i="39"/>
  <c r="I24" i="39"/>
  <c r="F11" i="39"/>
  <c r="F12" i="39"/>
  <c r="F13" i="39"/>
  <c r="F14" i="39"/>
  <c r="F15" i="39"/>
  <c r="F16" i="39"/>
  <c r="F17" i="39"/>
  <c r="F18" i="39"/>
  <c r="F19" i="39"/>
  <c r="F20" i="39"/>
  <c r="F21" i="39"/>
  <c r="F22" i="39"/>
  <c r="F23" i="39"/>
  <c r="I58" i="39"/>
  <c r="F58" i="39"/>
  <c r="I57" i="39"/>
  <c r="F57" i="39"/>
  <c r="I56" i="39"/>
  <c r="F56" i="39"/>
  <c r="I55" i="39"/>
  <c r="F55" i="39"/>
  <c r="I54" i="39"/>
  <c r="F54" i="39"/>
  <c r="I53" i="39"/>
  <c r="F53" i="39"/>
  <c r="I52" i="39"/>
  <c r="F52" i="39"/>
  <c r="I51" i="39"/>
  <c r="F51" i="39"/>
  <c r="I50" i="39"/>
  <c r="F50" i="39"/>
  <c r="I49" i="39"/>
  <c r="F49" i="39"/>
  <c r="I48" i="39"/>
  <c r="F48" i="39"/>
  <c r="I37" i="39"/>
  <c r="F37" i="39"/>
  <c r="I36" i="39"/>
  <c r="F36" i="39"/>
  <c r="I30" i="39"/>
  <c r="F30" i="39"/>
  <c r="I29" i="39"/>
  <c r="F29" i="39"/>
  <c r="I28" i="39"/>
  <c r="F28" i="39"/>
  <c r="I27" i="39"/>
  <c r="F27" i="39"/>
  <c r="I26" i="39"/>
  <c r="F26" i="39"/>
  <c r="I25" i="39"/>
  <c r="F25" i="39"/>
  <c r="F24" i="39"/>
  <c r="I10" i="39"/>
  <c r="F10" i="39"/>
  <c r="I9" i="39"/>
  <c r="F9" i="39"/>
  <c r="I8" i="39"/>
  <c r="F8" i="39"/>
  <c r="I7" i="39"/>
  <c r="F7" i="39"/>
  <c r="I6" i="39"/>
  <c r="F6" i="39"/>
  <c r="D51" i="1" l="1"/>
  <c r="D50" i="1"/>
  <c r="I50" i="52"/>
  <c r="E28" i="1" s="1"/>
  <c r="F19" i="41"/>
  <c r="F49" i="43"/>
  <c r="F37" i="44"/>
  <c r="I31" i="47"/>
  <c r="I31" i="50"/>
  <c r="F31" i="51"/>
  <c r="F49" i="53"/>
  <c r="I31" i="53"/>
  <c r="I19" i="55"/>
  <c r="F19" i="55"/>
  <c r="F19" i="57"/>
  <c r="I19" i="57"/>
  <c r="I20" i="57"/>
  <c r="D32" i="1" s="1"/>
  <c r="F37" i="57"/>
  <c r="I38" i="57" s="1"/>
  <c r="E32" i="1" s="1"/>
  <c r="I20" i="55"/>
  <c r="D31" i="1" s="1"/>
  <c r="F37" i="55"/>
  <c r="I19" i="54"/>
  <c r="F19" i="54"/>
  <c r="F37" i="54"/>
  <c r="F31" i="53"/>
  <c r="I32" i="53" s="1"/>
  <c r="D29" i="1" s="1"/>
  <c r="F31" i="52"/>
  <c r="I32" i="52" s="1"/>
  <c r="D28" i="1" s="1"/>
  <c r="I31" i="51"/>
  <c r="I32" i="51" s="1"/>
  <c r="D27" i="1" s="1"/>
  <c r="F49" i="51"/>
  <c r="I50" i="51" s="1"/>
  <c r="E27" i="1" s="1"/>
  <c r="F49" i="50"/>
  <c r="F31" i="50"/>
  <c r="I32" i="50" s="1"/>
  <c r="D26" i="1" s="1"/>
  <c r="F31" i="49"/>
  <c r="I32" i="49" s="1"/>
  <c r="D25" i="1" s="1"/>
  <c r="F49" i="49"/>
  <c r="F31" i="48"/>
  <c r="I32" i="48" s="1"/>
  <c r="D24" i="1" s="1"/>
  <c r="I50" i="48"/>
  <c r="E24" i="1" s="1"/>
  <c r="F31" i="47"/>
  <c r="I32" i="47" s="1"/>
  <c r="D23" i="1" s="1"/>
  <c r="F49" i="47"/>
  <c r="F19" i="46"/>
  <c r="I19" i="46"/>
  <c r="F37" i="46"/>
  <c r="F19" i="45"/>
  <c r="I19" i="45"/>
  <c r="I20" i="45" s="1"/>
  <c r="D21" i="1" s="1"/>
  <c r="F37" i="45"/>
  <c r="I38" i="45" s="1"/>
  <c r="E21" i="1" s="1"/>
  <c r="I19" i="44"/>
  <c r="F19" i="44"/>
  <c r="I20" i="44" s="1"/>
  <c r="D20" i="1" s="1"/>
  <c r="I49" i="43"/>
  <c r="I50" i="43" s="1"/>
  <c r="E19" i="1" s="1"/>
  <c r="F19" i="42"/>
  <c r="I19" i="42"/>
  <c r="I20" i="42" s="1"/>
  <c r="D18" i="1" s="1"/>
  <c r="F37" i="42"/>
  <c r="I19" i="41"/>
  <c r="I20" i="41" s="1"/>
  <c r="D17" i="1" s="1"/>
  <c r="F37" i="41"/>
  <c r="I31" i="40"/>
  <c r="F31" i="40"/>
  <c r="I32" i="40" s="1"/>
  <c r="D16" i="1" s="1"/>
  <c r="F59" i="40"/>
  <c r="I60" i="40" s="1"/>
  <c r="E16" i="1" s="1"/>
  <c r="I38" i="55"/>
  <c r="E31" i="1" s="1"/>
  <c r="I38" i="54"/>
  <c r="E30" i="1" s="1"/>
  <c r="I50" i="53"/>
  <c r="E29" i="1" s="1"/>
  <c r="I50" i="50"/>
  <c r="E26" i="1" s="1"/>
  <c r="I50" i="49"/>
  <c r="E25" i="1" s="1"/>
  <c r="I50" i="47"/>
  <c r="E23" i="1" s="1"/>
  <c r="I20" i="46"/>
  <c r="D22" i="1" s="1"/>
  <c r="I38" i="46"/>
  <c r="E22" i="1" s="1"/>
  <c r="I38" i="44"/>
  <c r="E20" i="1" s="1"/>
  <c r="F31" i="43"/>
  <c r="I32" i="43" s="1"/>
  <c r="D19" i="1" s="1"/>
  <c r="I38" i="42"/>
  <c r="E18" i="1" s="1"/>
  <c r="I38" i="41"/>
  <c r="E17" i="1" s="1"/>
  <c r="F59" i="39"/>
  <c r="I31" i="39"/>
  <c r="I59" i="39"/>
  <c r="F31" i="39"/>
  <c r="D52" i="1" l="1"/>
  <c r="I20" i="54"/>
  <c r="D30" i="1" s="1"/>
  <c r="I32" i="39"/>
  <c r="D15" i="1" s="1"/>
  <c r="I60" i="39"/>
  <c r="E15" i="1" s="1"/>
  <c r="I36" i="38" l="1"/>
  <c r="F36" i="38"/>
  <c r="I35" i="38"/>
  <c r="F35" i="38"/>
  <c r="I34" i="38"/>
  <c r="F34" i="38"/>
  <c r="I33" i="38"/>
  <c r="F33" i="38"/>
  <c r="I32" i="38"/>
  <c r="F32" i="38"/>
  <c r="I31" i="38"/>
  <c r="F31" i="38"/>
  <c r="I30" i="38"/>
  <c r="F30" i="38"/>
  <c r="I29" i="38"/>
  <c r="F29" i="38"/>
  <c r="I28" i="38"/>
  <c r="F28" i="38"/>
  <c r="I27" i="38"/>
  <c r="F27" i="38"/>
  <c r="I26" i="38"/>
  <c r="F26" i="38"/>
  <c r="I25" i="38"/>
  <c r="F25" i="38"/>
  <c r="I24" i="38"/>
  <c r="I37" i="38" s="1"/>
  <c r="F24" i="38"/>
  <c r="I18" i="38"/>
  <c r="F18" i="38"/>
  <c r="I17" i="38"/>
  <c r="F17" i="38"/>
  <c r="I16" i="38"/>
  <c r="F16" i="38"/>
  <c r="I15" i="38"/>
  <c r="F15" i="38"/>
  <c r="I14" i="38"/>
  <c r="F14" i="38"/>
  <c r="I13" i="38"/>
  <c r="F13" i="38"/>
  <c r="I12" i="38"/>
  <c r="F12" i="38"/>
  <c r="I11" i="38"/>
  <c r="F11" i="38"/>
  <c r="I10" i="38"/>
  <c r="F10" i="38"/>
  <c r="I9" i="38"/>
  <c r="F9" i="38"/>
  <c r="I8" i="38"/>
  <c r="F8" i="38"/>
  <c r="I7" i="38"/>
  <c r="F7" i="38"/>
  <c r="I6" i="38"/>
  <c r="F6" i="38"/>
  <c r="I36" i="37"/>
  <c r="F36" i="37"/>
  <c r="I35" i="37"/>
  <c r="F35" i="37"/>
  <c r="I34" i="37"/>
  <c r="F34" i="37"/>
  <c r="I33" i="37"/>
  <c r="F33" i="37"/>
  <c r="I32" i="37"/>
  <c r="F32" i="37"/>
  <c r="I31" i="37"/>
  <c r="F31" i="37"/>
  <c r="I30" i="37"/>
  <c r="F30" i="37"/>
  <c r="I29" i="37"/>
  <c r="F29" i="37"/>
  <c r="I28" i="37"/>
  <c r="F28" i="37"/>
  <c r="I27" i="37"/>
  <c r="F27" i="37"/>
  <c r="I26" i="37"/>
  <c r="F26" i="37"/>
  <c r="I25" i="37"/>
  <c r="F25" i="37"/>
  <c r="I24" i="37"/>
  <c r="I37" i="37" s="1"/>
  <c r="F24" i="37"/>
  <c r="I18" i="37"/>
  <c r="F18" i="37"/>
  <c r="I17" i="37"/>
  <c r="F17" i="37"/>
  <c r="I16" i="37"/>
  <c r="F16" i="37"/>
  <c r="I15" i="37"/>
  <c r="F15" i="37"/>
  <c r="I14" i="37"/>
  <c r="F14" i="37"/>
  <c r="I13" i="37"/>
  <c r="F13" i="37"/>
  <c r="I12" i="37"/>
  <c r="F12" i="37"/>
  <c r="I11" i="37"/>
  <c r="F11" i="37"/>
  <c r="I10" i="37"/>
  <c r="F10" i="37"/>
  <c r="I9" i="37"/>
  <c r="F9" i="37"/>
  <c r="I8" i="37"/>
  <c r="F8" i="37"/>
  <c r="I7" i="37"/>
  <c r="F7" i="37"/>
  <c r="I6" i="37"/>
  <c r="F6" i="37"/>
  <c r="I36" i="36"/>
  <c r="F36" i="36"/>
  <c r="I35" i="36"/>
  <c r="F35" i="36"/>
  <c r="I34" i="36"/>
  <c r="F34" i="36"/>
  <c r="I33" i="36"/>
  <c r="F33" i="36"/>
  <c r="I32" i="36"/>
  <c r="F32" i="36"/>
  <c r="I31" i="36"/>
  <c r="F31" i="36"/>
  <c r="I30" i="36"/>
  <c r="F30" i="36"/>
  <c r="I29" i="36"/>
  <c r="F29" i="36"/>
  <c r="I28" i="36"/>
  <c r="F28" i="36"/>
  <c r="I27" i="36"/>
  <c r="F27" i="36"/>
  <c r="I26" i="36"/>
  <c r="F26" i="36"/>
  <c r="I25" i="36"/>
  <c r="F25" i="36"/>
  <c r="I24" i="36"/>
  <c r="F24" i="36"/>
  <c r="I18" i="36"/>
  <c r="F18" i="36"/>
  <c r="I17" i="36"/>
  <c r="F17" i="36"/>
  <c r="I16" i="36"/>
  <c r="F16" i="36"/>
  <c r="I15" i="36"/>
  <c r="F15" i="36"/>
  <c r="I14" i="36"/>
  <c r="F14" i="36"/>
  <c r="I13" i="36"/>
  <c r="F13" i="36"/>
  <c r="I12" i="36"/>
  <c r="F12" i="36"/>
  <c r="I11" i="36"/>
  <c r="F11" i="36"/>
  <c r="I10" i="36"/>
  <c r="F10" i="36"/>
  <c r="I9" i="36"/>
  <c r="F9" i="36"/>
  <c r="I8" i="36"/>
  <c r="F8" i="36"/>
  <c r="I7" i="36"/>
  <c r="F7" i="36"/>
  <c r="I6" i="36"/>
  <c r="I19" i="36" s="1"/>
  <c r="F6" i="36"/>
  <c r="I36" i="35"/>
  <c r="F36" i="35"/>
  <c r="I35" i="35"/>
  <c r="F35" i="35"/>
  <c r="I34" i="35"/>
  <c r="F34" i="35"/>
  <c r="I33" i="35"/>
  <c r="F33" i="35"/>
  <c r="I32" i="35"/>
  <c r="F32" i="35"/>
  <c r="I31" i="35"/>
  <c r="F31" i="35"/>
  <c r="I30" i="35"/>
  <c r="F30" i="35"/>
  <c r="I29" i="35"/>
  <c r="F29" i="35"/>
  <c r="I28" i="35"/>
  <c r="F28" i="35"/>
  <c r="I27" i="35"/>
  <c r="F27" i="35"/>
  <c r="I26" i="35"/>
  <c r="F26" i="35"/>
  <c r="I25" i="35"/>
  <c r="F25" i="35"/>
  <c r="I24" i="35"/>
  <c r="I37" i="35" s="1"/>
  <c r="F24" i="35"/>
  <c r="I18" i="35"/>
  <c r="F18" i="35"/>
  <c r="I17" i="35"/>
  <c r="F17" i="35"/>
  <c r="I16" i="35"/>
  <c r="F16" i="35"/>
  <c r="I15" i="35"/>
  <c r="F15" i="35"/>
  <c r="I14" i="35"/>
  <c r="F14" i="35"/>
  <c r="I13" i="35"/>
  <c r="F13" i="35"/>
  <c r="I12" i="35"/>
  <c r="F12" i="35"/>
  <c r="I11" i="35"/>
  <c r="F11" i="35"/>
  <c r="I10" i="35"/>
  <c r="F10" i="35"/>
  <c r="I9" i="35"/>
  <c r="F9" i="35"/>
  <c r="I8" i="35"/>
  <c r="F8" i="35"/>
  <c r="I7" i="35"/>
  <c r="F7" i="35"/>
  <c r="I6" i="35"/>
  <c r="F6" i="35"/>
  <c r="I25" i="33"/>
  <c r="I24" i="34"/>
  <c r="I25" i="34"/>
  <c r="I36" i="34"/>
  <c r="F36" i="34"/>
  <c r="I35" i="34"/>
  <c r="F35" i="34"/>
  <c r="I34" i="34"/>
  <c r="F34" i="34"/>
  <c r="I33" i="34"/>
  <c r="F33" i="34"/>
  <c r="I32" i="34"/>
  <c r="F32" i="34"/>
  <c r="I31" i="34"/>
  <c r="F31" i="34"/>
  <c r="I30" i="34"/>
  <c r="F30" i="34"/>
  <c r="I29" i="34"/>
  <c r="F29" i="34"/>
  <c r="I28" i="34"/>
  <c r="F28" i="34"/>
  <c r="I27" i="34"/>
  <c r="F27" i="34"/>
  <c r="I26" i="34"/>
  <c r="F26" i="34"/>
  <c r="F25" i="34"/>
  <c r="F24" i="34"/>
  <c r="I18" i="34"/>
  <c r="F18" i="34"/>
  <c r="I17" i="34"/>
  <c r="F17" i="34"/>
  <c r="I16" i="34"/>
  <c r="F16" i="34"/>
  <c r="I15" i="34"/>
  <c r="F15" i="34"/>
  <c r="I14" i="34"/>
  <c r="F14" i="34"/>
  <c r="I13" i="34"/>
  <c r="F13" i="34"/>
  <c r="I12" i="34"/>
  <c r="F12" i="34"/>
  <c r="I11" i="34"/>
  <c r="F11" i="34"/>
  <c r="I10" i="34"/>
  <c r="F10" i="34"/>
  <c r="I9" i="34"/>
  <c r="F9" i="34"/>
  <c r="I8" i="34"/>
  <c r="F8" i="34"/>
  <c r="I7" i="34"/>
  <c r="F7" i="34"/>
  <c r="I6" i="34"/>
  <c r="F6" i="34"/>
  <c r="I37" i="33"/>
  <c r="F37" i="33"/>
  <c r="I36" i="33"/>
  <c r="F36" i="33"/>
  <c r="I35" i="33"/>
  <c r="F35" i="33"/>
  <c r="I34" i="33"/>
  <c r="F34" i="33"/>
  <c r="I33" i="33"/>
  <c r="F33" i="33"/>
  <c r="I32" i="33"/>
  <c r="F32" i="33"/>
  <c r="I31" i="33"/>
  <c r="F31" i="33"/>
  <c r="I30" i="33"/>
  <c r="F30" i="33"/>
  <c r="I29" i="33"/>
  <c r="F29" i="33"/>
  <c r="I28" i="33"/>
  <c r="F28" i="33"/>
  <c r="I27" i="33"/>
  <c r="F27" i="33"/>
  <c r="I26" i="33"/>
  <c r="F26" i="33"/>
  <c r="F25" i="33"/>
  <c r="I19" i="33"/>
  <c r="F19" i="33"/>
  <c r="I18" i="33"/>
  <c r="F18" i="33"/>
  <c r="I17" i="33"/>
  <c r="F17" i="33"/>
  <c r="I16" i="33"/>
  <c r="F16" i="33"/>
  <c r="I15" i="33"/>
  <c r="F15" i="33"/>
  <c r="I14" i="33"/>
  <c r="F14" i="33"/>
  <c r="I12" i="33"/>
  <c r="F12" i="33"/>
  <c r="I11" i="33"/>
  <c r="F11" i="33"/>
  <c r="I10" i="33"/>
  <c r="F10" i="33"/>
  <c r="I9" i="33"/>
  <c r="F9" i="33"/>
  <c r="I8" i="33"/>
  <c r="F8" i="33"/>
  <c r="I7" i="33"/>
  <c r="F7" i="33"/>
  <c r="I6" i="33"/>
  <c r="E37" i="1"/>
  <c r="D37" i="1"/>
  <c r="I19" i="34" l="1"/>
  <c r="F37" i="34"/>
  <c r="I37" i="34"/>
  <c r="I38" i="34" s="1"/>
  <c r="E10" i="1" s="1"/>
  <c r="F19" i="34"/>
  <c r="I19" i="37"/>
  <c r="I19" i="38"/>
  <c r="F19" i="38"/>
  <c r="I20" i="38" s="1"/>
  <c r="D14" i="1" s="1"/>
  <c r="F37" i="38"/>
  <c r="F37" i="37"/>
  <c r="F19" i="37"/>
  <c r="I20" i="37" s="1"/>
  <c r="D13" i="1" s="1"/>
  <c r="F19" i="36"/>
  <c r="I20" i="36" s="1"/>
  <c r="D12" i="1" s="1"/>
  <c r="F37" i="35"/>
  <c r="I38" i="35" s="1"/>
  <c r="E11" i="1" s="1"/>
  <c r="I19" i="35"/>
  <c r="F19" i="35"/>
  <c r="I20" i="35"/>
  <c r="D11" i="1" s="1"/>
  <c r="I37" i="36"/>
  <c r="F37" i="36"/>
  <c r="I38" i="38"/>
  <c r="E14" i="1" s="1"/>
  <c r="I38" i="37"/>
  <c r="E13" i="1" s="1"/>
  <c r="I38" i="33"/>
  <c r="F38" i="33"/>
  <c r="I20" i="33"/>
  <c r="F20" i="33"/>
  <c r="I36" i="32"/>
  <c r="F36" i="32"/>
  <c r="I35" i="32"/>
  <c r="F35" i="32"/>
  <c r="I34" i="32"/>
  <c r="F34" i="32"/>
  <c r="I33" i="32"/>
  <c r="F33" i="32"/>
  <c r="I32" i="32"/>
  <c r="F32" i="32"/>
  <c r="I31" i="32"/>
  <c r="F31" i="32"/>
  <c r="I30" i="32"/>
  <c r="F30" i="32"/>
  <c r="I29" i="32"/>
  <c r="F29" i="32"/>
  <c r="I28" i="32"/>
  <c r="F28" i="32"/>
  <c r="I27" i="32"/>
  <c r="F27" i="32"/>
  <c r="I26" i="32"/>
  <c r="F26" i="32"/>
  <c r="I25" i="32"/>
  <c r="F25" i="32"/>
  <c r="I24" i="32"/>
  <c r="F24" i="32"/>
  <c r="I17" i="32"/>
  <c r="F17" i="32"/>
  <c r="I15" i="32"/>
  <c r="F15" i="32"/>
  <c r="I14" i="32"/>
  <c r="F14" i="32"/>
  <c r="I10" i="32"/>
  <c r="F10" i="32"/>
  <c r="I9" i="32"/>
  <c r="F9" i="32"/>
  <c r="I8" i="32"/>
  <c r="F8" i="32"/>
  <c r="I7" i="32"/>
  <c r="F7" i="32"/>
  <c r="I6" i="32"/>
  <c r="F6" i="32"/>
  <c r="I20" i="34" l="1"/>
  <c r="D10" i="1" s="1"/>
  <c r="I19" i="32"/>
  <c r="F19" i="32"/>
  <c r="I38" i="36"/>
  <c r="E12" i="1" s="1"/>
  <c r="I37" i="32"/>
  <c r="I39" i="33"/>
  <c r="E9" i="1" s="1"/>
  <c r="I21" i="33"/>
  <c r="D9" i="1" s="1"/>
  <c r="F37" i="32"/>
  <c r="I20" i="32" l="1"/>
  <c r="D8" i="1" s="1"/>
  <c r="D33" i="1" s="1"/>
  <c r="D34" i="1" s="1"/>
  <c r="I38" i="32"/>
  <c r="E8" i="1" s="1"/>
  <c r="E33" i="1" s="1"/>
  <c r="E34" i="1" s="1"/>
  <c r="E1" i="5"/>
  <c r="E2" i="5"/>
  <c r="E3" i="5"/>
  <c r="E4" i="5"/>
  <c r="E5" i="5"/>
  <c r="E6" i="5"/>
  <c r="D35" i="1" l="1"/>
  <c r="D39" i="1" s="1"/>
  <c r="I50" i="6"/>
  <c r="F50" i="6"/>
  <c r="I49" i="6"/>
  <c r="F49" i="6"/>
  <c r="I48" i="6"/>
  <c r="F48" i="6"/>
  <c r="I42" i="6"/>
  <c r="F42" i="6"/>
  <c r="I41" i="6"/>
  <c r="F41" i="6"/>
  <c r="I40" i="6"/>
  <c r="F40" i="6"/>
  <c r="E6" i="1"/>
  <c r="E3" i="1"/>
  <c r="E2" i="1"/>
  <c r="E42" i="1" l="1"/>
  <c r="D42" i="1"/>
  <c r="D54" i="1"/>
  <c r="E41" i="1"/>
  <c r="D53" i="1"/>
  <c r="D41" i="1"/>
  <c r="D36" i="1"/>
  <c r="F51" i="6"/>
  <c r="I51" i="6"/>
  <c r="F43" i="6"/>
  <c r="I43" i="6"/>
  <c r="E4" i="1"/>
  <c r="I52" i="6" l="1"/>
  <c r="I44" i="6"/>
  <c r="E35" i="1" l="1"/>
  <c r="E36" i="1" l="1"/>
  <c r="E38" i="1" s="1"/>
  <c r="D38" i="1"/>
  <c r="D40"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StevenTFreund</author>
  </authors>
  <commentList>
    <comment ref="C16" authorId="0" shapeId="0" xr:uid="{CC097270-6A12-408C-A7AC-63E0624E8513}">
      <text>
        <r>
          <rPr>
            <sz val="9"/>
            <color indexed="81"/>
            <rFont val="Tahoma"/>
            <family val="2"/>
          </rPr>
          <t>Request for Lease Proposals requires a percentage basis for TI and BSAC project management fee.</t>
        </r>
      </text>
    </comment>
  </commentList>
</comments>
</file>

<file path=xl/sharedStrings.xml><?xml version="1.0" encoding="utf-8"?>
<sst xmlns="http://schemas.openxmlformats.org/spreadsheetml/2006/main" count="1066" uniqueCount="272">
  <si>
    <t>ABOA SF=</t>
  </si>
  <si>
    <t>Agency:</t>
  </si>
  <si>
    <t>TIA PER ABOA SF=</t>
  </si>
  <si>
    <t>Location:</t>
  </si>
  <si>
    <t>RSF=</t>
  </si>
  <si>
    <t>Masterformat CSI</t>
  </si>
  <si>
    <t>System Elements</t>
  </si>
  <si>
    <t>TI*</t>
  </si>
  <si>
    <t>SHELL**</t>
  </si>
  <si>
    <t>Div 1</t>
  </si>
  <si>
    <t xml:space="preserve">General Requirements      </t>
  </si>
  <si>
    <t>Div 2</t>
  </si>
  <si>
    <t>Div 3</t>
  </si>
  <si>
    <t xml:space="preserve">Concrete                               </t>
  </si>
  <si>
    <t>Div 4</t>
  </si>
  <si>
    <t>Div 5</t>
  </si>
  <si>
    <t>Metals</t>
  </si>
  <si>
    <t>Div 6</t>
  </si>
  <si>
    <t>Div 7</t>
  </si>
  <si>
    <t>Div 8</t>
  </si>
  <si>
    <t xml:space="preserve">Div 9 </t>
  </si>
  <si>
    <t>Finishes</t>
  </si>
  <si>
    <t>Div 10</t>
  </si>
  <si>
    <t>Specialties</t>
  </si>
  <si>
    <t xml:space="preserve">Div 11 </t>
  </si>
  <si>
    <t>Equipment</t>
  </si>
  <si>
    <t>Div 12</t>
  </si>
  <si>
    <t>Furnishings</t>
  </si>
  <si>
    <t>Div 13</t>
  </si>
  <si>
    <t>Special Construction</t>
  </si>
  <si>
    <t>Div 14</t>
  </si>
  <si>
    <t>Div 21</t>
  </si>
  <si>
    <t>Fire Suppression</t>
  </si>
  <si>
    <t>Div 22</t>
  </si>
  <si>
    <t>Plumbing</t>
  </si>
  <si>
    <t>Div 23</t>
  </si>
  <si>
    <t>Div 26.1</t>
  </si>
  <si>
    <t>Electrical</t>
  </si>
  <si>
    <t>Div 26.2</t>
  </si>
  <si>
    <t>Lighting</t>
  </si>
  <si>
    <t xml:space="preserve">Div 27 </t>
  </si>
  <si>
    <t>Div 28.1</t>
  </si>
  <si>
    <t>Div 28.2</t>
  </si>
  <si>
    <t>Div 32</t>
  </si>
  <si>
    <t xml:space="preserve">Subtotal </t>
  </si>
  <si>
    <t>Trade Costs</t>
  </si>
  <si>
    <t>General Contractor Fee</t>
  </si>
  <si>
    <t>Construction Costs</t>
  </si>
  <si>
    <t>Other Lessor Costs Established Under the Lease</t>
  </si>
  <si>
    <t>Lessor's Costs:</t>
  </si>
  <si>
    <t>Lessor's Project Management Fee</t>
  </si>
  <si>
    <t>Total</t>
  </si>
  <si>
    <t>Price to Government:</t>
  </si>
  <si>
    <t>GRAND TOTAL</t>
  </si>
  <si>
    <t>Cost per ABOA SF</t>
  </si>
  <si>
    <t>Notes:</t>
  </si>
  <si>
    <t xml:space="preserve"> Cost per RSF</t>
  </si>
  <si>
    <t>*</t>
  </si>
  <si>
    <t>Include all subcontractors' costs.</t>
  </si>
  <si>
    <t>**</t>
  </si>
  <si>
    <t>Shell and core work items within tenant space will include those items for a warm lit shell.  Please refer to the SHELL DEFINITIONS tab, and the lease for further information.</t>
  </si>
  <si>
    <t>COST</t>
  </si>
  <si>
    <t>INFORMATION NEEDED TO COMPLETE TICS TABLE</t>
  </si>
  <si>
    <t>Agency</t>
  </si>
  <si>
    <t xml:space="preserve">Location: City, State </t>
  </si>
  <si>
    <t>ABOA SF =</t>
  </si>
  <si>
    <t>General contractor fee, A/E Fee and Lessor's Project Management Fee fields are structured to allow you to choose percentage or a lump sum.</t>
  </si>
  <si>
    <t>TENANT IMPROVEMENT ALLOWANCE PER ABOA SF =</t>
  </si>
  <si>
    <t>DATE:</t>
  </si>
  <si>
    <t xml:space="preserve">Tenant Improvement General Contractor Fee </t>
  </si>
  <si>
    <t>percent</t>
  </si>
  <si>
    <t xml:space="preserve">Shell General Contractor Fee </t>
  </si>
  <si>
    <t>Tenant Improvement A/E Fees (per Lease)</t>
  </si>
  <si>
    <t>lump sum</t>
  </si>
  <si>
    <t>For A/E fees established as a cost per ABOA sf, convert rate to lump sum.</t>
  </si>
  <si>
    <t>Shell A/E Fees</t>
  </si>
  <si>
    <t>Lessor's TI Project Management Fee (per Lease)</t>
  </si>
  <si>
    <t>TI</t>
  </si>
  <si>
    <t>Shell</t>
  </si>
  <si>
    <t>TOTAL</t>
  </si>
  <si>
    <t>INSTRUCTIONS</t>
  </si>
  <si>
    <t xml:space="preserve">Fill in each line for all Shell and TI items in the corresponding division tabs included in the Tenant Improvement Cost Summary (TICS). Include all subcontractors' soft costs. Example shown below. </t>
  </si>
  <si>
    <t xml:space="preserve">Material </t>
  </si>
  <si>
    <t>Labor</t>
  </si>
  <si>
    <t>Hours</t>
  </si>
  <si>
    <t>Labor Rate</t>
  </si>
  <si>
    <r>
      <rPr>
        <b/>
        <sz val="12"/>
        <color theme="1"/>
        <rFont val="Arial mt"/>
      </rPr>
      <t xml:space="preserve">       TOTAL           </t>
    </r>
    <r>
      <rPr>
        <sz val="12"/>
        <color rgb="FF000000"/>
        <rFont val="Arial mt"/>
      </rPr>
      <t>Combines overall materials and labor.</t>
    </r>
  </si>
  <si>
    <t>1.</t>
  </si>
  <si>
    <t>2.</t>
  </si>
  <si>
    <t>Tenant Improvements (TI)</t>
  </si>
  <si>
    <t>TIs include the finishes and fixtures that take space from the shell condition to a finished, usable condition.</t>
  </si>
  <si>
    <t>MATERIAL</t>
  </si>
  <si>
    <t>LABOR</t>
  </si>
  <si>
    <t>DESCRIPTION</t>
  </si>
  <si>
    <t>QUAN.</t>
  </si>
  <si>
    <t>UNIT</t>
  </si>
  <si>
    <t>HOURS</t>
  </si>
  <si>
    <t>XYZ Paint</t>
  </si>
  <si>
    <t>GAL.</t>
  </si>
  <si>
    <t>ABC Paint</t>
  </si>
  <si>
    <t>Masonry</t>
  </si>
  <si>
    <t>Wood, Plastics, Composites</t>
  </si>
  <si>
    <t>Thermal and Moisture Protection</t>
  </si>
  <si>
    <t>Conveying Equipment</t>
  </si>
  <si>
    <t>Heating, Ventilating, and Air Conditioning (HVAC)</t>
  </si>
  <si>
    <t>Communications</t>
  </si>
  <si>
    <t>Exterior Improvements</t>
  </si>
  <si>
    <t>Cost of  labor.</t>
  </si>
  <si>
    <t xml:space="preserve">Total </t>
  </si>
  <si>
    <t>Time projected to perform the task.</t>
  </si>
  <si>
    <t>Cost per hour of labor.</t>
  </si>
  <si>
    <t>Total cost of all material.</t>
  </si>
  <si>
    <t>Unit</t>
  </si>
  <si>
    <t xml:space="preserve">(Example) LS,EA,GAL,LF, SF, etc. </t>
  </si>
  <si>
    <t>Cost</t>
  </si>
  <si>
    <t>Quantity</t>
  </si>
  <si>
    <t>List the quantity e.g., 1, 2, 3, etc.</t>
  </si>
  <si>
    <t>Description</t>
  </si>
  <si>
    <t>Accurately describe each item being priced.</t>
  </si>
  <si>
    <t>Existing Conditions</t>
  </si>
  <si>
    <t>Openings</t>
  </si>
  <si>
    <t>Electronic Safety</t>
  </si>
  <si>
    <t>MATERIAL TOTAL:</t>
  </si>
  <si>
    <t>LABOR TOTAL:</t>
  </si>
  <si>
    <t>TOTAL SHELL MATERIAL AND LABOR:</t>
  </si>
  <si>
    <t>TOTAL TI  MATERIAL AND LABOR:</t>
  </si>
  <si>
    <t>Electronic Security (TI - Non-BSAC)</t>
  </si>
  <si>
    <t>For:</t>
  </si>
  <si>
    <t>TOTAL TIA=</t>
  </si>
  <si>
    <t>QUANTITY</t>
  </si>
  <si>
    <t xml:space="preserve">Per GSA Pricing Desk Guide, 5th Edition. </t>
  </si>
  <si>
    <t>Table 2-4. Shell Definition for General Use Buildings</t>
  </si>
  <si>
    <t>Base Building</t>
  </si>
  <si>
    <t>Occupant Areas</t>
  </si>
  <si>
    <t xml:space="preserve">
Central heating, ventilation, and air conditioning (HVAC) systems are installed and operational, including, as appropriate, main and branch lines, variable air volume boxes, dampers, flex ducts and diffusers, for open office layout. Conditioned air through medium pressure ductwork at a rate of .75 cfm per square foot of usable area is provided. 
Sprinkler mains and distribution piping in a protection layout (open plan) with heads turned down, concealed with an escutcheon or trim plate, are installed.</t>
  </si>
  <si>
    <t xml:space="preserve">
Building common restrooms are complete and operational.</t>
  </si>
  <si>
    <t xml:space="preserve">
All common areas, such as lobbies, elevators, fire egress corridors and stairwells, garages, and service areas are complete. (Circulation corridors are provided as part of the base building only on multi- tenanted floors where the corridor is common to more than one tenant. On single tenant floors, only the fire egress corridor necessary to meet code is provided as part of the shell.)</t>
  </si>
  <si>
    <t xml:space="preserve">
Suspended acoustical ceiling system including grid and lay-in tiles (or other building standard). Lighting luminaires should be installed in the ceiling grid for an open office plan at the rate of one fixture per 80 USF.3 Lighting controls with ambient lighting adjusted per daylight availability, occupancy, vacancy, or other building automation system signals.</t>
  </si>
  <si>
    <t xml:space="preserve">
Base building mechanical, electrical and plumbing systems (e.g., central fire alarm, chiller plant, cooling tower) are complete and functional.</t>
  </si>
  <si>
    <t xml:space="preserve">
Gypsum wallboard, spackled and prime painted, on exterior perimeter walls and tenant demising walls, without suite entry door.</t>
  </si>
  <si>
    <t xml:space="preserve">
Broom-clean concrete floor slab, with a flat and level floor. </t>
  </si>
  <si>
    <t xml:space="preserve">
Base structure and building enclosure components (windows with exterior finishes) are complete.</t>
  </si>
  <si>
    <t>Division 1 - General Requirements</t>
  </si>
  <si>
    <t>Div 31</t>
  </si>
  <si>
    <t>Div 33</t>
  </si>
  <si>
    <t>Earthwork</t>
  </si>
  <si>
    <t>Utilities</t>
  </si>
  <si>
    <t>Division 2 - Existing Conditions</t>
  </si>
  <si>
    <t>(ex: LF)</t>
  </si>
  <si>
    <t>Describe first item here</t>
  </si>
  <si>
    <t>Division 3 - Concrete</t>
  </si>
  <si>
    <r>
      <rPr>
        <b/>
        <u/>
        <sz val="10"/>
        <color theme="1"/>
        <rFont val="Arial"/>
        <family val="2"/>
      </rPr>
      <t>Tentant Improvement (TI)</t>
    </r>
    <r>
      <rPr>
        <b/>
        <sz val="10"/>
        <color theme="1"/>
        <rFont val="Arial"/>
        <family val="2"/>
      </rPr>
      <t xml:space="preserve"> Cost Estimate for Division 3</t>
    </r>
  </si>
  <si>
    <t>Division 4 - Masonry</t>
  </si>
  <si>
    <r>
      <rPr>
        <b/>
        <u/>
        <sz val="10"/>
        <color theme="1"/>
        <rFont val="Arial"/>
        <family val="2"/>
      </rPr>
      <t>Tentant Improvement (TI)</t>
    </r>
    <r>
      <rPr>
        <b/>
        <sz val="10"/>
        <color theme="1"/>
        <rFont val="Arial"/>
        <family val="2"/>
      </rPr>
      <t xml:space="preserve"> Cost Estimate for Division 4</t>
    </r>
  </si>
  <si>
    <r>
      <rPr>
        <b/>
        <u/>
        <sz val="10"/>
        <color theme="1"/>
        <rFont val="Arial"/>
        <family val="2"/>
      </rPr>
      <t>Tentant Improvement (TI)</t>
    </r>
    <r>
      <rPr>
        <b/>
        <sz val="10"/>
        <color theme="1"/>
        <rFont val="Arial"/>
        <family val="2"/>
      </rPr>
      <t xml:space="preserve"> Cost Estimate for Division 2 (examples: site work, demolition)</t>
    </r>
  </si>
  <si>
    <r>
      <rPr>
        <b/>
        <u/>
        <sz val="10"/>
        <color theme="1"/>
        <rFont val="Arial"/>
        <family val="2"/>
      </rPr>
      <t>SHELL</t>
    </r>
    <r>
      <rPr>
        <b/>
        <sz val="10"/>
        <color theme="1"/>
        <rFont val="Arial"/>
        <family val="2"/>
      </rPr>
      <t xml:space="preserve"> Cost Estimate for Division 3 (examples: foundations, columns, flatwork, beams)</t>
    </r>
  </si>
  <si>
    <r>
      <rPr>
        <b/>
        <u/>
        <sz val="10"/>
        <color theme="1"/>
        <rFont val="Arial"/>
        <family val="2"/>
      </rPr>
      <t>SHELL</t>
    </r>
    <r>
      <rPr>
        <b/>
        <sz val="10"/>
        <color theme="1"/>
        <rFont val="Arial"/>
        <family val="2"/>
      </rPr>
      <t xml:space="preserve"> Cost Estimate for Division 4 (examples: brick, block)</t>
    </r>
  </si>
  <si>
    <t>Division 5 - Metals</t>
  </si>
  <si>
    <r>
      <rPr>
        <b/>
        <u/>
        <sz val="10"/>
        <color theme="1"/>
        <rFont val="Arial"/>
        <family val="2"/>
      </rPr>
      <t>SHELL</t>
    </r>
    <r>
      <rPr>
        <b/>
        <sz val="10"/>
        <color theme="1"/>
        <rFont val="Arial"/>
        <family val="2"/>
      </rPr>
      <t xml:space="preserve"> Cost Estimate for Division 5 (examples: structural, grates, decking, joists, stairs, railings, custom fabrications)</t>
    </r>
  </si>
  <si>
    <r>
      <rPr>
        <b/>
        <u/>
        <sz val="10"/>
        <color theme="1"/>
        <rFont val="Arial"/>
        <family val="2"/>
      </rPr>
      <t>Tentant Improvement (TI)</t>
    </r>
    <r>
      <rPr>
        <b/>
        <sz val="10"/>
        <color theme="1"/>
        <rFont val="Arial"/>
        <family val="2"/>
      </rPr>
      <t xml:space="preserve"> Cost Estimate for Division 5 (examples: structural, grates, decking, joists, stairs, railings, custom fabrications)</t>
    </r>
  </si>
  <si>
    <t>DIVISION 6 - WOOD, PLASTICS, COMPOSITES</t>
  </si>
  <si>
    <r>
      <rPr>
        <b/>
        <u/>
        <sz val="10"/>
        <color theme="1"/>
        <rFont val="Arial"/>
        <family val="2"/>
      </rPr>
      <t>Tentant Improvement (TI)</t>
    </r>
    <r>
      <rPr>
        <b/>
        <sz val="10"/>
        <color theme="1"/>
        <rFont val="Arial"/>
        <family val="2"/>
      </rPr>
      <t xml:space="preserve"> Cost Estimate for Division 6 (examples: wood framing, rough carpentry, sheathing, millwork, decking, paneling, stairs &amp; railings)</t>
    </r>
  </si>
  <si>
    <r>
      <rPr>
        <b/>
        <u/>
        <sz val="10"/>
        <color theme="1"/>
        <rFont val="Arial"/>
        <family val="2"/>
      </rPr>
      <t>SHELL</t>
    </r>
    <r>
      <rPr>
        <b/>
        <sz val="10"/>
        <color theme="1"/>
        <rFont val="Arial"/>
        <family val="2"/>
      </rPr>
      <t xml:space="preserve"> Cost Estimate for Division 6 (examples: wood framing, rough carpentry, sheathing, millwork, decking, paneling, stairs &amp; railings)</t>
    </r>
  </si>
  <si>
    <t>DIVISION 7 - THERMAL &amp; MOISTURE PROTECTION</t>
  </si>
  <si>
    <t>DIVISION 8 - OPENINGS</t>
  </si>
  <si>
    <t>FOR:</t>
  </si>
  <si>
    <t>DATE PREPARED:</t>
  </si>
  <si>
    <t>LEASE GS-XXP-LXXXXXXX or Project</t>
  </si>
  <si>
    <t>DIVISION 9 - FINISHES</t>
  </si>
  <si>
    <r>
      <rPr>
        <b/>
        <u/>
        <sz val="10"/>
        <color theme="1"/>
        <rFont val="Arial"/>
        <family val="2"/>
      </rPr>
      <t>SHELL</t>
    </r>
    <r>
      <rPr>
        <b/>
        <sz val="10"/>
        <color theme="1"/>
        <rFont val="Arial"/>
        <family val="2"/>
      </rPr>
      <t xml:space="preserve"> Cost Estimate for Division 9 (examples: painting, carpeting, flooring &amp; base, wall protection, walls)</t>
    </r>
  </si>
  <si>
    <r>
      <rPr>
        <b/>
        <u/>
        <sz val="10"/>
        <color theme="1"/>
        <rFont val="Arial"/>
        <family val="2"/>
      </rPr>
      <t>Tentant Improvement (TI)</t>
    </r>
    <r>
      <rPr>
        <b/>
        <sz val="10"/>
        <color theme="1"/>
        <rFont val="Arial"/>
        <family val="2"/>
      </rPr>
      <t xml:space="preserve"> Cost Estimate for Division 9 (examples: painting, carpeting, flooring &amp; base, wall protection, walls)</t>
    </r>
  </si>
  <si>
    <t>DIVISION 10 - SPECIALTIES</t>
  </si>
  <si>
    <t>DIVISION 11 - EQUIPMENT</t>
  </si>
  <si>
    <r>
      <rPr>
        <b/>
        <u/>
        <sz val="10"/>
        <color theme="1"/>
        <rFont val="Arial"/>
        <family val="2"/>
      </rPr>
      <t>Tentant Improvement (TI)</t>
    </r>
    <r>
      <rPr>
        <b/>
        <sz val="10"/>
        <color theme="1"/>
        <rFont val="Arial"/>
        <family val="2"/>
      </rPr>
      <t xml:space="preserve"> Cost Estimate for Division 11 (examples: AV, lab, recreational, food, banking, medical, retail, parking, loading dock, and other equipment)</t>
    </r>
  </si>
  <si>
    <r>
      <rPr>
        <b/>
        <u/>
        <sz val="10"/>
        <color theme="1"/>
        <rFont val="Arial"/>
        <family val="2"/>
      </rPr>
      <t>SHELL</t>
    </r>
    <r>
      <rPr>
        <b/>
        <sz val="10"/>
        <color theme="1"/>
        <rFont val="Arial"/>
        <family val="2"/>
      </rPr>
      <t xml:space="preserve"> Cost Estimate for Division 11 (examples: AV, lab, recreational, food, banking, medical, retail, parking, loading dock, and other equipment)</t>
    </r>
  </si>
  <si>
    <t>DIVISION 12 - FURNISHINGS</t>
  </si>
  <si>
    <r>
      <rPr>
        <b/>
        <u/>
        <sz val="10"/>
        <color theme="1"/>
        <rFont val="Arial"/>
        <family val="2"/>
      </rPr>
      <t>Tentant Improvement (TI)</t>
    </r>
    <r>
      <rPr>
        <b/>
        <sz val="10"/>
        <color theme="1"/>
        <rFont val="Arial"/>
        <family val="2"/>
      </rPr>
      <t xml:space="preserve"> Cost Estimate for Division 12 (examples: decorations, systems and office funiture, casework, countertops)</t>
    </r>
  </si>
  <si>
    <r>
      <rPr>
        <b/>
        <u/>
        <sz val="10"/>
        <color theme="1"/>
        <rFont val="Arial"/>
        <family val="2"/>
      </rPr>
      <t>SHELL</t>
    </r>
    <r>
      <rPr>
        <b/>
        <sz val="10"/>
        <color theme="1"/>
        <rFont val="Arial"/>
        <family val="2"/>
      </rPr>
      <t xml:space="preserve"> Cost Estimate for Division 12 (examples: decorations, systems and office funiture, casework, countertops)</t>
    </r>
  </si>
  <si>
    <t>DIVISION 13 - SPECIAL CONSTRUCTION</t>
  </si>
  <si>
    <t>DIVISION 14 - CONVEYING EQUIPMENT</t>
  </si>
  <si>
    <r>
      <rPr>
        <b/>
        <u/>
        <sz val="10"/>
        <color theme="1"/>
        <rFont val="Arial"/>
        <family val="2"/>
      </rPr>
      <t>Tentant Improvement (TI)</t>
    </r>
    <r>
      <rPr>
        <b/>
        <sz val="10"/>
        <color theme="1"/>
        <rFont val="Arial"/>
        <family val="2"/>
      </rPr>
      <t xml:space="preserve"> Cost Estimate for Division 14</t>
    </r>
  </si>
  <si>
    <r>
      <rPr>
        <b/>
        <u/>
        <sz val="10"/>
        <color theme="1"/>
        <rFont val="Arial"/>
        <family val="2"/>
      </rPr>
      <t>SHELL</t>
    </r>
    <r>
      <rPr>
        <b/>
        <sz val="10"/>
        <color theme="1"/>
        <rFont val="Arial"/>
        <family val="2"/>
      </rPr>
      <t xml:space="preserve"> Cost Estimate for Division 14</t>
    </r>
  </si>
  <si>
    <r>
      <rPr>
        <b/>
        <u/>
        <sz val="10"/>
        <color theme="1"/>
        <rFont val="Arial"/>
        <family val="2"/>
      </rPr>
      <t>Tentant Improvement (TI)</t>
    </r>
    <r>
      <rPr>
        <b/>
        <sz val="10"/>
        <color theme="1"/>
        <rFont val="Arial"/>
        <family val="2"/>
      </rPr>
      <t xml:space="preserve"> Cost Estimate for Division 13 (examples: pre-engineered &amp; prefab structures)</t>
    </r>
  </si>
  <si>
    <r>
      <rPr>
        <b/>
        <u/>
        <sz val="10"/>
        <color theme="1"/>
        <rFont val="Arial"/>
        <family val="2"/>
      </rPr>
      <t>SHELL</t>
    </r>
    <r>
      <rPr>
        <b/>
        <sz val="10"/>
        <color theme="1"/>
        <rFont val="Arial"/>
        <family val="2"/>
      </rPr>
      <t xml:space="preserve"> Cost Estimate for Division 13 (examples: pre-engineered &amp; prefab structures)</t>
    </r>
  </si>
  <si>
    <t>DIVISION 21 - FIRE SUPPRESSION</t>
  </si>
  <si>
    <r>
      <rPr>
        <b/>
        <u/>
        <sz val="10"/>
        <color theme="1"/>
        <rFont val="Arial"/>
        <family val="2"/>
      </rPr>
      <t>Tentant Improvement (TI)</t>
    </r>
    <r>
      <rPr>
        <b/>
        <sz val="10"/>
        <color theme="1"/>
        <rFont val="Arial"/>
        <family val="2"/>
      </rPr>
      <t xml:space="preserve"> Cost Estimate for Division 21</t>
    </r>
  </si>
  <si>
    <r>
      <rPr>
        <b/>
        <u/>
        <sz val="10"/>
        <color theme="1"/>
        <rFont val="Arial"/>
        <family val="2"/>
      </rPr>
      <t>SHELL</t>
    </r>
    <r>
      <rPr>
        <b/>
        <sz val="10"/>
        <color theme="1"/>
        <rFont val="Arial"/>
        <family val="2"/>
      </rPr>
      <t xml:space="preserve"> Cost Estimate for Division 21</t>
    </r>
  </si>
  <si>
    <t>DIVISION 22 - PLUMBING</t>
  </si>
  <si>
    <r>
      <rPr>
        <b/>
        <u/>
        <sz val="10"/>
        <color theme="1"/>
        <rFont val="Arial"/>
        <family val="2"/>
      </rPr>
      <t>Tentant Improvement (TI)</t>
    </r>
    <r>
      <rPr>
        <b/>
        <sz val="10"/>
        <color theme="1"/>
        <rFont val="Arial"/>
        <family val="2"/>
      </rPr>
      <t xml:space="preserve"> Cost Estimate for Division 22</t>
    </r>
  </si>
  <si>
    <r>
      <rPr>
        <b/>
        <u/>
        <sz val="10"/>
        <color theme="1"/>
        <rFont val="Arial"/>
        <family val="2"/>
      </rPr>
      <t>SHELL</t>
    </r>
    <r>
      <rPr>
        <b/>
        <sz val="10"/>
        <color theme="1"/>
        <rFont val="Arial"/>
        <family val="2"/>
      </rPr>
      <t xml:space="preserve"> Cost Estimate for Division 22</t>
    </r>
  </si>
  <si>
    <t>DIVISION 23 - HEATING, VENTILATING, AND AIR CONDITIONING (HVAC)</t>
  </si>
  <si>
    <r>
      <rPr>
        <b/>
        <u/>
        <sz val="10"/>
        <color theme="1"/>
        <rFont val="Arial"/>
        <family val="2"/>
      </rPr>
      <t>Tentant Improvement (TI)</t>
    </r>
    <r>
      <rPr>
        <b/>
        <sz val="10"/>
        <color theme="1"/>
        <rFont val="Arial"/>
        <family val="2"/>
      </rPr>
      <t xml:space="preserve"> Cost Estimate for Division 23</t>
    </r>
  </si>
  <si>
    <r>
      <rPr>
        <b/>
        <u/>
        <sz val="10"/>
        <color theme="1"/>
        <rFont val="Arial"/>
        <family val="2"/>
      </rPr>
      <t>SHELL</t>
    </r>
    <r>
      <rPr>
        <b/>
        <sz val="10"/>
        <color theme="1"/>
        <rFont val="Arial"/>
        <family val="2"/>
      </rPr>
      <t xml:space="preserve"> Cost Estimate for Division 23</t>
    </r>
  </si>
  <si>
    <t>DIVISION 26.1 - ELECTRICAL</t>
  </si>
  <si>
    <r>
      <rPr>
        <b/>
        <u/>
        <sz val="10"/>
        <color theme="1"/>
        <rFont val="Arial"/>
        <family val="2"/>
      </rPr>
      <t>Tentant Improvement (TI)</t>
    </r>
    <r>
      <rPr>
        <b/>
        <sz val="10"/>
        <color theme="1"/>
        <rFont val="Arial"/>
        <family val="2"/>
      </rPr>
      <t xml:space="preserve"> Cost Estimate for Division 26.1 (examples: conduit, wire, supports, boxes, fittings, terminations, outlets, cover plates, receptacles, power devices, panels &amp; breakers, electrical equipment)</t>
    </r>
  </si>
  <si>
    <r>
      <rPr>
        <b/>
        <u/>
        <sz val="10"/>
        <color theme="1"/>
        <rFont val="Arial"/>
        <family val="2"/>
      </rPr>
      <t>SHELL</t>
    </r>
    <r>
      <rPr>
        <b/>
        <sz val="10"/>
        <color theme="1"/>
        <rFont val="Arial"/>
        <family val="2"/>
      </rPr>
      <t xml:space="preserve"> Cost Estimate for Division 26.1 (examples: conduit, wire, supports, boxes, fittings, terminations, outlets, cover plates, receptacles, power devices, panels &amp; breakers, electrical equipment)</t>
    </r>
  </si>
  <si>
    <t>DIVISION 26.2 - LIGHTING</t>
  </si>
  <si>
    <r>
      <rPr>
        <b/>
        <u/>
        <sz val="10"/>
        <color theme="1"/>
        <rFont val="Arial"/>
        <family val="2"/>
      </rPr>
      <t>SHELL</t>
    </r>
    <r>
      <rPr>
        <b/>
        <sz val="10"/>
        <color theme="1"/>
        <rFont val="Arial"/>
        <family val="2"/>
      </rPr>
      <t xml:space="preserve"> Cost Estimate for Division 26.2 (examples: lighting fixtures, wall switches, motion switches)</t>
    </r>
  </si>
  <si>
    <r>
      <rPr>
        <b/>
        <u/>
        <sz val="10"/>
        <color theme="1"/>
        <rFont val="Arial"/>
        <family val="2"/>
      </rPr>
      <t>Tentant Improvement (TI)</t>
    </r>
    <r>
      <rPr>
        <b/>
        <sz val="10"/>
        <color theme="1"/>
        <rFont val="Arial"/>
        <family val="2"/>
      </rPr>
      <t xml:space="preserve"> Cost Estimate for Division 26.2 (examples: lighting fixtures, wall switches, motion switches)</t>
    </r>
  </si>
  <si>
    <t>DIVISION 27 - COMMUNICATIONS</t>
  </si>
  <si>
    <r>
      <rPr>
        <b/>
        <u/>
        <sz val="10"/>
        <color theme="1"/>
        <rFont val="Arial"/>
        <family val="2"/>
      </rPr>
      <t>Tentant Improvement (TI)</t>
    </r>
    <r>
      <rPr>
        <b/>
        <sz val="10"/>
        <color theme="1"/>
        <rFont val="Arial"/>
        <family val="2"/>
      </rPr>
      <t xml:space="preserve"> Cost Estimate for Division 27 (examples: Low Voltage cabling (CAT6, POE, Coax, HDMI, speaker), overhead speakers/intercom, sound-masking/white noise devices, jacks, punchdown, cover plates, cable trays/j-hooks, server racks (conduit &amp; boxes see Div 26.1))</t>
    </r>
  </si>
  <si>
    <r>
      <rPr>
        <b/>
        <u/>
        <sz val="10"/>
        <color theme="1"/>
        <rFont val="Arial"/>
        <family val="2"/>
      </rPr>
      <t>SHELL</t>
    </r>
    <r>
      <rPr>
        <b/>
        <sz val="10"/>
        <color theme="1"/>
        <rFont val="Arial"/>
        <family val="2"/>
      </rPr>
      <t xml:space="preserve"> Cost Estimate for Division 27</t>
    </r>
  </si>
  <si>
    <r>
      <rPr>
        <b/>
        <u/>
        <sz val="10"/>
        <color theme="1"/>
        <rFont val="Arial"/>
        <family val="2"/>
      </rPr>
      <t>Tentant Improvement (TI)</t>
    </r>
    <r>
      <rPr>
        <b/>
        <sz val="10"/>
        <color theme="1"/>
        <rFont val="Arial"/>
        <family val="2"/>
      </rPr>
      <t xml:space="preserve"> Cost Estimate for Division 28.1 (examples: Fire Alarm Only: wire, devices, smokes, heats, CO2, exit signs, addressing &amp; testing)</t>
    </r>
  </si>
  <si>
    <r>
      <rPr>
        <b/>
        <u/>
        <sz val="10"/>
        <color theme="1"/>
        <rFont val="Arial"/>
        <family val="2"/>
      </rPr>
      <t>SHELL</t>
    </r>
    <r>
      <rPr>
        <b/>
        <sz val="10"/>
        <color theme="1"/>
        <rFont val="Arial"/>
        <family val="2"/>
      </rPr>
      <t xml:space="preserve"> Cost Estimate for Division 28.1</t>
    </r>
  </si>
  <si>
    <t>DIVISION 28.1 - ELECTRONIC SAFETY</t>
  </si>
  <si>
    <t>DIVISION 28.2 - ELECTRONIC SECURITY</t>
  </si>
  <si>
    <r>
      <rPr>
        <b/>
        <u/>
        <sz val="10"/>
        <color theme="1"/>
        <rFont val="Arial"/>
        <family val="2"/>
      </rPr>
      <t>SHELL</t>
    </r>
    <r>
      <rPr>
        <b/>
        <sz val="10"/>
        <color theme="1"/>
        <rFont val="Arial"/>
        <family val="2"/>
      </rPr>
      <t xml:space="preserve"> Cost Estimate for Division 28.2  SHOULD NOT include items required/itemized as BSAC on a Security Unit Price List, provided separately if necessary.  SHOULD include items labeled SHELL on a Security Unit Price List.</t>
    </r>
  </si>
  <si>
    <t>DIVISION 31 - EARTHWORK</t>
  </si>
  <si>
    <r>
      <rPr>
        <b/>
        <u/>
        <sz val="10"/>
        <color theme="1"/>
        <rFont val="Arial"/>
        <family val="2"/>
      </rPr>
      <t>Tentant Improvement (TI)</t>
    </r>
    <r>
      <rPr>
        <b/>
        <sz val="10"/>
        <color theme="1"/>
        <rFont val="Arial"/>
        <family val="2"/>
      </rPr>
      <t xml:space="preserve"> Cost Estimate for Division 31</t>
    </r>
  </si>
  <si>
    <r>
      <rPr>
        <b/>
        <u/>
        <sz val="10"/>
        <color theme="1"/>
        <rFont val="Arial"/>
        <family val="2"/>
      </rPr>
      <t>SHELL</t>
    </r>
    <r>
      <rPr>
        <b/>
        <sz val="10"/>
        <color theme="1"/>
        <rFont val="Arial"/>
        <family val="2"/>
      </rPr>
      <t xml:space="preserve"> Cost Estimate for Division 31</t>
    </r>
  </si>
  <si>
    <t>DIVISION 32 - EXTERIOR IMPROVEMENTS</t>
  </si>
  <si>
    <r>
      <rPr>
        <b/>
        <u/>
        <sz val="10"/>
        <color theme="1"/>
        <rFont val="Arial"/>
        <family val="2"/>
      </rPr>
      <t>Tentant Improvement (TI)</t>
    </r>
    <r>
      <rPr>
        <b/>
        <sz val="10"/>
        <color theme="1"/>
        <rFont val="Arial"/>
        <family val="2"/>
      </rPr>
      <t xml:space="preserve"> Cost Estimate for Division 32</t>
    </r>
  </si>
  <si>
    <r>
      <rPr>
        <b/>
        <u/>
        <sz val="10"/>
        <color theme="1"/>
        <rFont val="Arial"/>
        <family val="2"/>
      </rPr>
      <t>SHELL</t>
    </r>
    <r>
      <rPr>
        <b/>
        <sz val="10"/>
        <color theme="1"/>
        <rFont val="Arial"/>
        <family val="2"/>
      </rPr>
      <t xml:space="preserve"> Cost Estimate for Division 32 (examples: site, civil, pavements, landscaping, walks, pedestals, fences, gates, permanent vehicle barriers, foundations, earthwork)</t>
    </r>
  </si>
  <si>
    <r>
      <rPr>
        <b/>
        <u/>
        <sz val="10"/>
        <color theme="1"/>
        <rFont val="Arial"/>
        <family val="2"/>
      </rPr>
      <t>Tentant Improvement (TI)</t>
    </r>
    <r>
      <rPr>
        <b/>
        <sz val="10"/>
        <color theme="1"/>
        <rFont val="Arial"/>
        <family val="2"/>
      </rPr>
      <t xml:space="preserve"> Cost Estimate for Division 33</t>
    </r>
  </si>
  <si>
    <r>
      <rPr>
        <b/>
        <u/>
        <sz val="10"/>
        <color theme="1"/>
        <rFont val="Arial"/>
        <family val="2"/>
      </rPr>
      <t>SHELL</t>
    </r>
    <r>
      <rPr>
        <b/>
        <sz val="10"/>
        <color theme="1"/>
        <rFont val="Arial"/>
        <family val="2"/>
      </rPr>
      <t xml:space="preserve"> Cost Estimate for Division 33 </t>
    </r>
  </si>
  <si>
    <t>Project or Lease #</t>
  </si>
  <si>
    <t>Material Total:</t>
  </si>
  <si>
    <t>Labor Total:</t>
  </si>
  <si>
    <t>TOTAL TI MATERIAL &amp; LABOR:</t>
  </si>
  <si>
    <t>TOTAL SHELL MATERIAL &amp; LABOR:</t>
  </si>
  <si>
    <r>
      <rPr>
        <b/>
        <u/>
        <sz val="10"/>
        <color theme="1"/>
        <rFont val="Arial"/>
        <family val="2"/>
      </rPr>
      <t>Tentant Improvement (TI)</t>
    </r>
    <r>
      <rPr>
        <b/>
        <sz val="10"/>
        <color theme="1"/>
        <rFont val="Arial"/>
        <family val="2"/>
      </rPr>
      <t xml:space="preserve"> Cost Estimate for Division 9</t>
    </r>
  </si>
  <si>
    <r>
      <rPr>
        <b/>
        <u/>
        <sz val="10"/>
        <color theme="1"/>
        <rFont val="Arial"/>
        <family val="2"/>
      </rPr>
      <t>Shell</t>
    </r>
    <r>
      <rPr>
        <b/>
        <sz val="10"/>
        <color theme="1"/>
        <rFont val="Arial"/>
        <family val="2"/>
      </rPr>
      <t xml:space="preserve"> Cost Estimate for Division 9</t>
    </r>
  </si>
  <si>
    <t>Amount per one unit</t>
  </si>
  <si>
    <t>Read and understand 'SHELL' tab.</t>
  </si>
  <si>
    <t>Input project specific information as appropriate in the light blue fields of the 'INPUT' worksheet, in order to auto-populate the TICS worksheet.  This includes ANSI-BOMA Office Area (ABOA) square footage,  General Contractor Fee, Lessor's Project Management Fee, and A/E Fees.  Note that some of these fees are already established under the lease agreement and must be used when completing this worksheet.</t>
  </si>
  <si>
    <t>Amount</t>
  </si>
  <si>
    <t>Basis</t>
  </si>
  <si>
    <t>Common Area Factor:</t>
  </si>
  <si>
    <t>Fill each division tab 1-33 as needed for the construction to be preformed under the SHELL cost as indicated above.</t>
  </si>
  <si>
    <t>Fill out light blue fields categorized Tenant Improvements (TI), inputting only costs associated with TI.</t>
  </si>
  <si>
    <t>Fill each division tab 1-33 as needed for the construction to be performed under the TI costs as indicated above.</t>
  </si>
  <si>
    <t xml:space="preserve">Fill out light blue fields categorized SHELL, inputting only costs associated with shell as defined in the 'SHELL' tab. </t>
  </si>
  <si>
    <r>
      <rPr>
        <b/>
        <u/>
        <sz val="10"/>
        <color theme="1"/>
        <rFont val="Arial"/>
        <family val="2"/>
      </rPr>
      <t>SHELL</t>
    </r>
    <r>
      <rPr>
        <b/>
        <sz val="10"/>
        <color theme="1"/>
        <rFont val="Arial"/>
        <family val="2"/>
      </rPr>
      <t xml:space="preserve"> Cost Estimate for Division 2 (examples: demolition, survey, geotech, HAZMAT)</t>
    </r>
  </si>
  <si>
    <r>
      <rPr>
        <b/>
        <u/>
        <sz val="10"/>
        <color theme="1"/>
        <rFont val="Arial"/>
        <family val="2"/>
      </rPr>
      <t>Tentant Improvement (TI)</t>
    </r>
    <r>
      <rPr>
        <b/>
        <sz val="10"/>
        <color theme="1"/>
        <rFont val="Arial"/>
        <family val="2"/>
      </rPr>
      <t xml:space="preserve"> Cost Estimate for Division 7 (examples: roof Penetration/Patching, firestopping, joint sealants, caulking, dampproofing, insulation, weather barriers)</t>
    </r>
  </si>
  <si>
    <r>
      <rPr>
        <b/>
        <u/>
        <sz val="10"/>
        <color theme="1"/>
        <rFont val="Arial"/>
        <family val="2"/>
      </rPr>
      <t>SHELL</t>
    </r>
    <r>
      <rPr>
        <b/>
        <sz val="10"/>
        <color theme="1"/>
        <rFont val="Arial"/>
        <family val="2"/>
      </rPr>
      <t xml:space="preserve"> Cost Estimate for Division 7 (examples: roof Penetration/Patching, firestopping, joint sealants, caulking, dampproofing, insulation, weather barriers)</t>
    </r>
  </si>
  <si>
    <r>
      <rPr>
        <b/>
        <u/>
        <sz val="10"/>
        <color theme="1"/>
        <rFont val="Arial"/>
        <family val="2"/>
      </rPr>
      <t>Tentant Improvement (TI)</t>
    </r>
    <r>
      <rPr>
        <b/>
        <sz val="10"/>
        <color theme="1"/>
        <rFont val="Arial"/>
        <family val="2"/>
      </rPr>
      <t xml:space="preserve"> Cost Estimate for Division 8 (examples: doors, frames, hardware, louvers, windows, glazing, curtainwall)</t>
    </r>
  </si>
  <si>
    <r>
      <rPr>
        <b/>
        <u/>
        <sz val="10"/>
        <color theme="1"/>
        <rFont val="Arial"/>
        <family val="2"/>
      </rPr>
      <t>SHELL</t>
    </r>
    <r>
      <rPr>
        <b/>
        <sz val="10"/>
        <color theme="1"/>
        <rFont val="Arial"/>
        <family val="2"/>
      </rPr>
      <t xml:space="preserve"> Cost Estimate for Division 8 (examples: doors, frames, hardware, louvers, windows, glazing, curtainwall)</t>
    </r>
  </si>
  <si>
    <r>
      <rPr>
        <b/>
        <u/>
        <sz val="10"/>
        <color theme="1"/>
        <rFont val="Arial"/>
        <family val="2"/>
      </rPr>
      <t>Tentant Improvement (TI)</t>
    </r>
    <r>
      <rPr>
        <b/>
        <sz val="10"/>
        <color theme="1"/>
        <rFont val="Arial"/>
        <family val="2"/>
      </rPr>
      <t xml:space="preserve"> Cost Estimate for Division 10 (examples: displays, signage, directory boards, movable partitions, wall and door protection, lockers, flagpoles, storage assemblies)</t>
    </r>
  </si>
  <si>
    <r>
      <rPr>
        <b/>
        <u/>
        <sz val="10"/>
        <color theme="1"/>
        <rFont val="Arial"/>
        <family val="2"/>
      </rPr>
      <t>SHELL</t>
    </r>
    <r>
      <rPr>
        <b/>
        <sz val="10"/>
        <color theme="1"/>
        <rFont val="Arial"/>
        <family val="2"/>
      </rPr>
      <t xml:space="preserve"> Cost Estimate for Division 10 (examples: displays, signage, directory boards, movable partitions, wall and door protection, lockers, flagpoles, storage assemblies)</t>
    </r>
  </si>
  <si>
    <t>DIVISION 33 - UTILITIES</t>
  </si>
  <si>
    <r>
      <rPr>
        <b/>
        <u/>
        <sz val="10"/>
        <color theme="1"/>
        <rFont val="Arial"/>
        <family val="2"/>
      </rPr>
      <t>Tentant Improvement (TI)</t>
    </r>
    <r>
      <rPr>
        <b/>
        <sz val="10"/>
        <color theme="1"/>
        <rFont val="Arial"/>
        <family val="2"/>
      </rPr>
      <t xml:space="preserve"> Cost Estimate for Division 1 (examples: superintendence, mob/demob, dust control, waste &amp; dumpsters, temporary barriers &amp; barricades)</t>
    </r>
  </si>
  <si>
    <r>
      <rPr>
        <b/>
        <u/>
        <sz val="10"/>
        <color theme="1"/>
        <rFont val="Arial"/>
        <family val="2"/>
      </rPr>
      <t>SHELL</t>
    </r>
    <r>
      <rPr>
        <b/>
        <sz val="10"/>
        <color theme="1"/>
        <rFont val="Arial"/>
        <family val="2"/>
      </rPr>
      <t xml:space="preserve"> Cost Estimate for Division 1 (examples: superintendence, mob/demob, dust control, waste &amp; dumpsters, temporary barriers &amp; barricades)</t>
    </r>
  </si>
  <si>
    <t xml:space="preserve"> TENANT IMPROVEMENTS COST SUMMARY (TICS)                                                                                                                                                                                                                                                                                                                                                     </t>
  </si>
  <si>
    <t>cornerstone</t>
  </si>
  <si>
    <t>BSAC</t>
  </si>
  <si>
    <t>TOTAL BSAC  MATERIAL AND LABOR:</t>
  </si>
  <si>
    <t>BUILDING SPECIFIC AMORTIZED CAPITAL (BSAC)</t>
  </si>
  <si>
    <r>
      <rPr>
        <b/>
        <u/>
        <sz val="10"/>
        <color theme="1"/>
        <rFont val="Arial"/>
        <family val="2"/>
      </rPr>
      <t>Tentant Improvement (TI)</t>
    </r>
    <r>
      <rPr>
        <b/>
        <sz val="10"/>
        <color theme="1"/>
        <rFont val="Arial"/>
        <family val="2"/>
      </rPr>
      <t xml:space="preserve"> Cost Estimate for Division 28.2 (examples: duress, IDS, motion, video surveillance systems, CCTV, security scanning, glass break, alarm devices) SHOULD NOT include items required/itemized as BSAC on a Security Unit Price List, provided separately, or the BSAC tab on this form. SHOULD include items labeled TI on a Security Unit Price List.</t>
    </r>
  </si>
  <si>
    <t>Select Method of BSAC Inclusion:</t>
  </si>
  <si>
    <t>N/A</t>
  </si>
  <si>
    <t>← Click if entering BSAC values</t>
  </si>
  <si>
    <t>BSAC Architectural &amp; Engineering Fees</t>
  </si>
  <si>
    <t>BSAC Lessor's Project Management Fee</t>
  </si>
  <si>
    <t>Building Specific Amortized Capital Costs</t>
  </si>
  <si>
    <t>BSAC Costs and Fees</t>
  </si>
  <si>
    <t>BSAC SUMMARY</t>
  </si>
  <si>
    <t>BSAC elements are traditionally itemized on a Security Unit Price List form. Enter the 'Total Costs' value from that form on the BSAC tab as instructed on the page. If a Security Unit Price List is not available and/or a more detailed examination of BSAC costs is desired, the BSAC tab can also itemize costs.</t>
  </si>
  <si>
    <t>Building Specific Amortized Capital (BSAC)</t>
  </si>
  <si>
    <t>BSAC is used for the build-out of security-related improvements, most commonly listed on a 'Security Requirements' attachment.</t>
  </si>
  <si>
    <t>Because Architectural &amp; Engineering Fees and Lessor's Project Management Fees apply to BSAC as well as Tenant Improvement costs, this form includes opportunities to include BSAC pricing in order to capture a comprehensive fee evalutation. Fees identified as having a percentage basis for TI costs on the INPUT tab will automatically be applied to BSAC costs as well on the TICS tab, if applicable.</t>
  </si>
  <si>
    <t xml:space="preserve">
Building cores on each floor with assignable space contain the following: tappable domestic water riser, service sanitary drain, sanitary vent, ready for extension to tenant- demised areas.
Electrical power distribution panels and circuit breakers available in an electrical closet, with capacity at 120/208 volt, 3- phase, 4-wire providing 4 watts per USF excluding lighting and HVAC. 
Designated connection point to the central fire alarm system for extension to tenant- demised areas. 
Distribution backboard within a wire closet for connection to tenant’s telephone lines. Vertical conduit (empty sleeve) through building core, available for tenant wiring and cabling.</t>
  </si>
  <si>
    <t>If BSAC is applicable, 'Amount' values entered above for TI fees that have a 'percent' basis will automatically be applied to BSAC on the TICS tab.  'Lump Sum' basis amounts will NOT be applied twice; 'lump sum' basis amounts entered above should consider the full scope of both TI and BSAC and will only be displayed once on the TICS tab.</t>
  </si>
  <si>
    <r>
      <rPr>
        <b/>
        <u/>
        <sz val="10"/>
        <color theme="1"/>
        <rFont val="Arial"/>
        <family val="2"/>
      </rPr>
      <t>Building Specific Amortized Capital (BSAC)</t>
    </r>
    <r>
      <rPr>
        <b/>
        <sz val="10"/>
        <color theme="1"/>
        <rFont val="Arial"/>
        <family val="2"/>
      </rPr>
      <t xml:space="preserve"> Cost Estimate (Most commonly itemized on a Security Unit Price List.)</t>
    </r>
  </si>
  <si>
    <t>Architectural &amp; Engineering Fees (NIC DID costs) ***</t>
  </si>
  <si>
    <t>***</t>
  </si>
  <si>
    <t>Not subject to Lessor's project management fee.</t>
  </si>
  <si>
    <t>Enter percent values as decimals. Ex: 0.06 for 6.00%</t>
  </si>
  <si>
    <t>Version Oct. 2024</t>
  </si>
  <si>
    <t>s</t>
  </si>
  <si>
    <t>US Department of Veterans Affairs</t>
  </si>
  <si>
    <t>RLP # 36C248-25-R-0110 – EXHIBIT K</t>
  </si>
  <si>
    <t>Ceiba, Puerto Rico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</si>
</sst>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7" formatCode="&quot;$&quot;#,##0.00_);\(&quot;$&quot;#,##0.00\)"/>
    <numFmt numFmtId="8" formatCode="&quot;$&quot;#,##0.00_);[Red]\(&quot;$&quot;#,##0.00\)"/>
    <numFmt numFmtId="44" formatCode="_(&quot;$&quot;* #,##0.00_);_(&quot;$&quot;* \(#,##0.00\);_(&quot;$&quot;* &quot;-&quot;??_);_(@_)"/>
    <numFmt numFmtId="43" formatCode="_(* #,##0.00_);_(* \(#,##0.00\);_(* &quot;-&quot;??_);_(@_)"/>
    <numFmt numFmtId="164" formatCode="mmmm\ d\,\ yyyy"/>
    <numFmt numFmtId="165" formatCode="&quot;$&quot;#,##0.00"/>
    <numFmt numFmtId="166" formatCode="0.0"/>
  </numFmts>
  <fonts count="43">
    <font>
      <sz val="12"/>
      <color rgb="FF000000"/>
      <name val="Arial mt"/>
    </font>
    <font>
      <b/>
      <sz val="12"/>
      <color theme="1"/>
      <name val="Arial"/>
      <family val="2"/>
    </font>
    <font>
      <sz val="12"/>
      <name val="Arial mt"/>
    </font>
    <font>
      <sz val="12"/>
      <color theme="1"/>
      <name val="Arial"/>
      <family val="2"/>
    </font>
    <font>
      <b/>
      <sz val="12"/>
      <color rgb="FF000000"/>
      <name val="Arial"/>
      <family val="2"/>
    </font>
    <font>
      <sz val="12"/>
      <color rgb="FF000000"/>
      <name val="Arial"/>
      <family val="2"/>
    </font>
    <font>
      <sz val="10"/>
      <color theme="1"/>
      <name val="Arial"/>
      <family val="2"/>
    </font>
    <font>
      <sz val="12"/>
      <color rgb="FFFFFFFF"/>
      <name val="Arial"/>
      <family val="2"/>
    </font>
    <font>
      <b/>
      <sz val="10"/>
      <color theme="1"/>
      <name val="Arial"/>
      <family val="2"/>
    </font>
    <font>
      <sz val="12"/>
      <color theme="1"/>
      <name val="Arial mt"/>
    </font>
    <font>
      <b/>
      <sz val="10"/>
      <color theme="0"/>
      <name val="Arial Black"/>
      <family val="2"/>
    </font>
    <font>
      <sz val="12"/>
      <color theme="1"/>
      <name val="Calibri"/>
      <family val="2"/>
    </font>
    <font>
      <b/>
      <sz val="10"/>
      <color theme="1"/>
      <name val="Arial Black"/>
      <family val="2"/>
    </font>
    <font>
      <sz val="10"/>
      <color theme="1"/>
      <name val="Arial mt"/>
    </font>
    <font>
      <sz val="10"/>
      <color rgb="FFFF0000"/>
      <name val="Calibri"/>
      <family val="2"/>
    </font>
    <font>
      <i/>
      <sz val="8"/>
      <color theme="1"/>
      <name val="Arial mt"/>
    </font>
    <font>
      <sz val="9"/>
      <color theme="1"/>
      <name val="Arial"/>
      <family val="2"/>
    </font>
    <font>
      <b/>
      <sz val="12"/>
      <color theme="1"/>
      <name val="Arial mt"/>
    </font>
    <font>
      <b/>
      <sz val="20"/>
      <color theme="0"/>
      <name val="Arial mt"/>
    </font>
    <font>
      <sz val="12"/>
      <color rgb="FF366092"/>
      <name val="Arial mt"/>
    </font>
    <font>
      <b/>
      <sz val="12"/>
      <color rgb="FF366092"/>
      <name val="Arial mt"/>
    </font>
    <font>
      <b/>
      <sz val="8"/>
      <color theme="1"/>
      <name val="Arial"/>
      <family val="2"/>
    </font>
    <font>
      <b/>
      <sz val="14"/>
      <color theme="1"/>
      <name val="Arial"/>
      <family val="2"/>
    </font>
    <font>
      <b/>
      <sz val="10"/>
      <color rgb="FFFF0000"/>
      <name val="Arial"/>
      <family val="2"/>
    </font>
    <font>
      <b/>
      <sz val="20"/>
      <color rgb="FFFF0000"/>
      <name val="Arial mt"/>
    </font>
    <font>
      <sz val="12"/>
      <color theme="1"/>
      <name val="Calibri"/>
      <family val="2"/>
    </font>
    <font>
      <sz val="12"/>
      <color rgb="FF000000"/>
      <name val="Arial mt"/>
    </font>
    <font>
      <sz val="11"/>
      <color rgb="FFFF0000"/>
      <name val="Arial"/>
      <family val="2"/>
    </font>
    <font>
      <sz val="11"/>
      <name val="Arial"/>
      <family val="2"/>
    </font>
    <font>
      <sz val="11"/>
      <color theme="1"/>
      <name val="Arial"/>
      <family val="2"/>
    </font>
    <font>
      <b/>
      <sz val="12"/>
      <name val="Arial"/>
      <family val="2"/>
    </font>
    <font>
      <sz val="10"/>
      <name val="Arial"/>
      <family val="2"/>
    </font>
    <font>
      <b/>
      <sz val="10"/>
      <name val="Arial"/>
      <family val="2"/>
    </font>
    <font>
      <b/>
      <sz val="14"/>
      <color theme="0"/>
      <name val="Arial mt"/>
    </font>
    <font>
      <b/>
      <sz val="10"/>
      <name val="Arial mt"/>
    </font>
    <font>
      <b/>
      <u/>
      <sz val="10"/>
      <color theme="1"/>
      <name val="Arial"/>
      <family val="2"/>
    </font>
    <font>
      <b/>
      <sz val="13"/>
      <color theme="1"/>
      <name val="Arial"/>
      <family val="2"/>
    </font>
    <font>
      <b/>
      <u/>
      <sz val="12"/>
      <color theme="1"/>
      <name val="Arial mt"/>
    </font>
    <font>
      <u/>
      <sz val="12"/>
      <name val="Arial mt"/>
    </font>
    <font>
      <sz val="12"/>
      <color theme="0"/>
      <name val="Arial mt"/>
    </font>
    <font>
      <sz val="12"/>
      <name val="Aptos Narrow"/>
      <family val="2"/>
    </font>
    <font>
      <sz val="9"/>
      <name val="Arial"/>
      <family val="2"/>
    </font>
    <font>
      <sz val="9"/>
      <color indexed="81"/>
      <name val="Tahoma"/>
      <family val="2"/>
    </font>
  </fonts>
  <fills count="29">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CCFFCC"/>
        <bgColor rgb="FFCCFFCC"/>
      </patternFill>
    </fill>
    <fill>
      <patternFill patternType="solid">
        <fgColor theme="1"/>
        <bgColor theme="1"/>
      </patternFill>
    </fill>
    <fill>
      <patternFill patternType="solid">
        <fgColor theme="4"/>
        <bgColor theme="4"/>
      </patternFill>
    </fill>
    <fill>
      <patternFill patternType="solid">
        <fgColor rgb="FF974806"/>
        <bgColor rgb="FF974806"/>
      </patternFill>
    </fill>
    <fill>
      <patternFill patternType="solid">
        <fgColor theme="8" tint="0.79998168889431442"/>
        <bgColor indexed="64"/>
      </patternFill>
    </fill>
    <fill>
      <patternFill patternType="solid">
        <fgColor theme="8" tint="0.79998168889431442"/>
        <bgColor rgb="FFDBE5F1"/>
      </patternFill>
    </fill>
    <fill>
      <patternFill patternType="solid">
        <fgColor theme="4" tint="0.59999389629810485"/>
        <bgColor rgb="FFC0C0C0"/>
      </patternFill>
    </fill>
    <fill>
      <patternFill patternType="solid">
        <fgColor theme="4" tint="0.59999389629810485"/>
        <bgColor rgb="FFFFFF00"/>
      </patternFill>
    </fill>
    <fill>
      <patternFill patternType="solid">
        <fgColor rgb="FFCCFFCC"/>
        <bgColor indexed="64"/>
      </patternFill>
    </fill>
    <fill>
      <patternFill patternType="solid">
        <fgColor theme="8" tint="0.79998168889431442"/>
        <bgColor rgb="FFCCFFCC"/>
      </patternFill>
    </fill>
    <fill>
      <patternFill patternType="solid">
        <fgColor theme="2"/>
        <bgColor indexed="64"/>
      </patternFill>
    </fill>
    <fill>
      <patternFill patternType="solid">
        <fgColor rgb="FF6699FF"/>
        <bgColor indexed="64"/>
      </patternFill>
    </fill>
    <fill>
      <patternFill patternType="solid">
        <fgColor theme="8" tint="0.79998168889431442"/>
        <bgColor rgb="FFFFFFFF"/>
      </patternFill>
    </fill>
    <fill>
      <patternFill patternType="solid">
        <fgColor theme="0"/>
        <bgColor indexed="64"/>
      </patternFill>
    </fill>
    <fill>
      <patternFill patternType="solid">
        <fgColor theme="0" tint="-0.14999847407452621"/>
        <bgColor rgb="FFC0C0C0"/>
      </patternFill>
    </fill>
    <fill>
      <patternFill patternType="solid">
        <fgColor theme="0" tint="-0.14999847407452621"/>
        <bgColor indexed="64"/>
      </patternFill>
    </fill>
    <fill>
      <patternFill patternType="solid">
        <fgColor theme="0" tint="-0.14999847407452621"/>
        <bgColor rgb="FFCCFFCC"/>
      </patternFill>
    </fill>
    <fill>
      <patternFill patternType="solid">
        <fgColor theme="0" tint="-0.14999847407452621"/>
        <bgColor rgb="FFA5A5A5"/>
      </patternFill>
    </fill>
    <fill>
      <patternFill patternType="solid">
        <fgColor theme="0" tint="-0.14999847407452621"/>
        <bgColor rgb="FFD8D8D8"/>
      </patternFill>
    </fill>
    <fill>
      <patternFill patternType="solid">
        <fgColor theme="5" tint="0.79998168889431442"/>
        <bgColor indexed="64"/>
      </patternFill>
    </fill>
    <fill>
      <patternFill patternType="solid">
        <fgColor theme="5" tint="0.79998168889431442"/>
        <bgColor rgb="FFCCFFCC"/>
      </patternFill>
    </fill>
    <fill>
      <patternFill patternType="solid">
        <fgColor rgb="FFF2DCDB"/>
        <bgColor indexed="64"/>
      </patternFill>
    </fill>
    <fill>
      <patternFill patternType="solid">
        <fgColor theme="1"/>
        <bgColor indexed="64"/>
      </patternFill>
    </fill>
    <fill>
      <patternFill patternType="solid">
        <fgColor rgb="FFFFFF99"/>
        <bgColor indexed="64"/>
      </patternFill>
    </fill>
    <fill>
      <patternFill patternType="solid">
        <fgColor rgb="FFB8CCE4"/>
        <bgColor indexed="64"/>
      </patternFill>
    </fill>
  </fills>
  <borders count="183">
    <border>
      <left/>
      <right/>
      <top/>
      <bottom/>
      <diagonal/>
    </border>
    <border>
      <left style="medium">
        <color rgb="FF000000"/>
      </left>
      <right/>
      <top style="medium">
        <color rgb="FF000000"/>
      </top>
      <bottom/>
      <diagonal/>
    </border>
    <border>
      <left style="medium">
        <color rgb="FF244061"/>
      </left>
      <right/>
      <top style="medium">
        <color rgb="FF000000"/>
      </top>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n">
        <color rgb="FF244061"/>
      </left>
      <right style="thin">
        <color rgb="FF244061"/>
      </right>
      <top style="medium">
        <color rgb="FF244061"/>
      </top>
      <bottom style="thin">
        <color rgb="FF000000"/>
      </bottom>
      <diagonal/>
    </border>
    <border>
      <left/>
      <right style="medium">
        <color rgb="FF000000"/>
      </right>
      <top style="medium">
        <color rgb="FF244061"/>
      </top>
      <bottom style="thin">
        <color rgb="FF000000"/>
      </bottom>
      <diagonal/>
    </border>
    <border>
      <left style="medium">
        <color rgb="FF000000"/>
      </left>
      <right/>
      <top/>
      <bottom style="medium">
        <color rgb="FF000000"/>
      </bottom>
      <diagonal/>
    </border>
    <border>
      <left style="thin">
        <color rgb="FF244061"/>
      </left>
      <right style="thin">
        <color rgb="FF244061"/>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244061"/>
      </left>
      <right style="thin">
        <color rgb="FF244061"/>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244061"/>
      </bottom>
      <diagonal/>
    </border>
    <border>
      <left/>
      <right/>
      <top/>
      <bottom style="medium">
        <color rgb="FF244061"/>
      </bottom>
      <diagonal/>
    </border>
    <border>
      <left/>
      <right style="thin">
        <color rgb="FF244061"/>
      </right>
      <top/>
      <bottom style="medium">
        <color rgb="FF244061"/>
      </bottom>
      <diagonal/>
    </border>
    <border>
      <left style="thin">
        <color rgb="FF244061"/>
      </left>
      <right style="medium">
        <color rgb="FF000000"/>
      </right>
      <top/>
      <bottom style="medium">
        <color rgb="FF244061"/>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right style="medium">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bottom/>
      <diagonal/>
    </border>
    <border>
      <left style="thin">
        <color rgb="FF244061"/>
      </left>
      <right/>
      <top/>
      <bottom/>
      <diagonal/>
    </border>
    <border>
      <left/>
      <right style="thin">
        <color rgb="FF000000"/>
      </right>
      <top/>
      <bottom/>
      <diagonal/>
    </border>
    <border>
      <left style="thin">
        <color rgb="FF000000"/>
      </left>
      <right style="medium">
        <color rgb="FF000000"/>
      </right>
      <top style="thin">
        <color rgb="FF000000"/>
      </top>
      <bottom/>
      <diagonal/>
    </border>
    <border>
      <left style="thin">
        <color rgb="FF000000"/>
      </left>
      <right/>
      <top style="medium">
        <color rgb="FF000000"/>
      </top>
      <bottom/>
      <diagonal/>
    </border>
    <border>
      <left/>
      <right/>
      <top style="medium">
        <color rgb="FF000000"/>
      </top>
      <bottom/>
      <diagonal/>
    </border>
    <border>
      <left style="thin">
        <color rgb="FF000000"/>
      </left>
      <right style="thin">
        <color rgb="FF244061"/>
      </right>
      <top style="medium">
        <color rgb="FF000000"/>
      </top>
      <bottom style="thin">
        <color rgb="FF000000"/>
      </bottom>
      <diagonal/>
    </border>
    <border>
      <left style="thin">
        <color rgb="FF244061"/>
      </left>
      <right style="medium">
        <color rgb="FF000000"/>
      </right>
      <top style="medium">
        <color rgb="FF000000"/>
      </top>
      <bottom style="thin">
        <color rgb="FF000000"/>
      </bottom>
      <diagonal/>
    </border>
    <border>
      <left style="thin">
        <color rgb="FF000000"/>
      </left>
      <right/>
      <top/>
      <bottom/>
      <diagonal/>
    </border>
    <border>
      <left style="thin">
        <color rgb="FF000000"/>
      </left>
      <right/>
      <top style="thin">
        <color rgb="FF000000"/>
      </top>
      <bottom style="medium">
        <color rgb="FF000000"/>
      </bottom>
      <diagonal/>
    </border>
    <border>
      <left style="thin">
        <color rgb="FF244061"/>
      </left>
      <right style="medium">
        <color rgb="FF000000"/>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thin">
        <color rgb="FF000000"/>
      </top>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bottom style="medium">
        <color rgb="FF000000"/>
      </bottom>
      <diagonal/>
    </border>
    <border>
      <left/>
      <right/>
      <top style="medium">
        <color rgb="FF000000"/>
      </top>
      <bottom style="medium">
        <color rgb="FF000000"/>
      </bottom>
      <diagonal/>
    </border>
    <border>
      <left style="thick">
        <color rgb="FF366092"/>
      </left>
      <right/>
      <top style="thick">
        <color rgb="FF366092"/>
      </top>
      <bottom/>
      <diagonal/>
    </border>
    <border>
      <left/>
      <right/>
      <top style="thick">
        <color rgb="FF366092"/>
      </top>
      <bottom/>
      <diagonal/>
    </border>
    <border>
      <left/>
      <right style="thick">
        <color rgb="FF366092"/>
      </right>
      <top style="thick">
        <color rgb="FF366092"/>
      </top>
      <bottom/>
      <diagonal/>
    </border>
    <border>
      <left style="thick">
        <color rgb="FF366092"/>
      </left>
      <right/>
      <top/>
      <bottom/>
      <diagonal/>
    </border>
    <border>
      <left/>
      <right style="thick">
        <color rgb="FF366092"/>
      </right>
      <top/>
      <bottom/>
      <diagonal/>
    </border>
    <border>
      <left/>
      <right style="thick">
        <color rgb="FF366092"/>
      </right>
      <top style="double">
        <color rgb="FF244061"/>
      </top>
      <bottom style="thin">
        <color rgb="FF244061"/>
      </bottom>
      <diagonal/>
    </border>
    <border>
      <left/>
      <right style="thick">
        <color rgb="FF366092"/>
      </right>
      <top style="thin">
        <color rgb="FF244061"/>
      </top>
      <bottom style="thin">
        <color rgb="FF244061"/>
      </bottom>
      <diagonal/>
    </border>
    <border>
      <left/>
      <right/>
      <top style="thin">
        <color rgb="FF244061"/>
      </top>
      <bottom style="thin">
        <color rgb="FF244061"/>
      </bottom>
      <diagonal/>
    </border>
    <border>
      <left/>
      <right style="thick">
        <color rgb="FF244061"/>
      </right>
      <top/>
      <bottom/>
      <diagonal/>
    </border>
    <border>
      <left style="thin">
        <color rgb="FF000000"/>
      </left>
      <right style="thick">
        <color rgb="FF366092"/>
      </right>
      <top style="thin">
        <color rgb="FF244061"/>
      </top>
      <bottom style="thin">
        <color rgb="FF244061"/>
      </bottom>
      <diagonal/>
    </border>
    <border>
      <left style="thick">
        <color rgb="FF366092"/>
      </left>
      <right/>
      <top/>
      <bottom style="thin">
        <color rgb="FF000000"/>
      </bottom>
      <diagonal/>
    </border>
    <border>
      <left style="thin">
        <color rgb="FF000000"/>
      </left>
      <right style="thin">
        <color rgb="FF000000"/>
      </right>
      <top style="thin">
        <color rgb="FF000000"/>
      </top>
      <bottom style="thick">
        <color rgb="FF366092"/>
      </bottom>
      <diagonal/>
    </border>
    <border>
      <left style="medium">
        <color rgb="FF974806"/>
      </left>
      <right/>
      <top style="medium">
        <color rgb="FF974806"/>
      </top>
      <bottom/>
      <diagonal/>
    </border>
    <border>
      <left/>
      <right/>
      <top style="medium">
        <color rgb="FF974806"/>
      </top>
      <bottom/>
      <diagonal/>
    </border>
    <border>
      <left/>
      <right style="medium">
        <color rgb="FF974806"/>
      </right>
      <top style="medium">
        <color rgb="FF974806"/>
      </top>
      <bottom/>
      <diagonal/>
    </border>
    <border>
      <left/>
      <right/>
      <top style="thick">
        <color rgb="FF000000"/>
      </top>
      <bottom/>
      <diagonal/>
    </border>
    <border>
      <left/>
      <right/>
      <top style="thin">
        <color rgb="FF000000"/>
      </top>
      <bottom style="medium">
        <color rgb="FF000000"/>
      </bottom>
      <diagonal/>
    </border>
    <border>
      <left/>
      <right/>
      <top style="medium">
        <color rgb="FF000000"/>
      </top>
      <bottom style="medium">
        <color rgb="FF000000"/>
      </bottom>
      <diagonal/>
    </border>
    <border>
      <left/>
      <right/>
      <top style="medium">
        <color rgb="FF000000"/>
      </top>
      <bottom style="thin">
        <color rgb="FF000000"/>
      </bottom>
      <diagonal/>
    </border>
    <border>
      <left/>
      <right/>
      <top style="thin">
        <color rgb="FF000000"/>
      </top>
      <bottom style="thin">
        <color rgb="FF000000"/>
      </bottom>
      <diagonal/>
    </border>
    <border>
      <left/>
      <right style="medium">
        <color rgb="FF000000"/>
      </right>
      <top style="medium">
        <color rgb="FF000000"/>
      </top>
      <bottom style="medium">
        <color rgb="FF000000"/>
      </bottom>
      <diagonal/>
    </border>
    <border>
      <left/>
      <right/>
      <top style="medium">
        <color rgb="FF000000"/>
      </top>
      <bottom/>
      <diagonal/>
    </border>
    <border>
      <left style="medium">
        <color rgb="FF000000"/>
      </left>
      <right/>
      <top style="thin">
        <color rgb="FF000000"/>
      </top>
      <bottom style="thin">
        <color rgb="FF000000"/>
      </bottom>
      <diagonal/>
    </border>
    <border>
      <left style="medium">
        <color rgb="FF000000"/>
      </left>
      <right/>
      <top style="thick">
        <color rgb="FF000000"/>
      </top>
      <bottom/>
      <diagonal/>
    </border>
    <border>
      <left/>
      <right style="medium">
        <color rgb="FF000000"/>
      </right>
      <top style="thick">
        <color rgb="FF000000"/>
      </top>
      <bottom/>
      <diagonal/>
    </border>
    <border>
      <left/>
      <right style="medium">
        <color rgb="FF000000"/>
      </right>
      <top style="thin">
        <color rgb="FF000000"/>
      </top>
      <bottom style="medium">
        <color rgb="FF000000"/>
      </bottom>
      <diagonal/>
    </border>
    <border>
      <left/>
      <right style="medium">
        <color rgb="FF000000"/>
      </right>
      <top style="thin">
        <color rgb="FF000000"/>
      </top>
      <bottom style="thin">
        <color rgb="FF000000"/>
      </bottom>
      <diagonal/>
    </border>
    <border>
      <left style="thin">
        <color rgb="FF000000"/>
      </left>
      <right style="thin">
        <color rgb="FF000000"/>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style="thin">
        <color rgb="FF000000"/>
      </left>
      <right style="medium">
        <color rgb="FF000000"/>
      </right>
      <top/>
      <bottom style="thin">
        <color rgb="FF000000"/>
      </bottom>
      <diagonal/>
    </border>
    <border>
      <left style="medium">
        <color rgb="FF000000"/>
      </left>
      <right/>
      <top style="medium">
        <color rgb="FF000000"/>
      </top>
      <bottom/>
      <diagonal/>
    </border>
    <border>
      <left style="thin">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top style="thin">
        <color rgb="FF000000"/>
      </top>
      <bottom style="medium">
        <color rgb="FF000000"/>
      </bottom>
      <diagonal/>
    </border>
    <border>
      <left style="medium">
        <color rgb="FF000000"/>
      </left>
      <right/>
      <top style="medium">
        <color rgb="FF000000"/>
      </top>
      <bottom style="thin">
        <color rgb="FF000000"/>
      </bottom>
      <diagonal/>
    </border>
    <border>
      <left style="medium">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style="thin">
        <color rgb="FF000000"/>
      </left>
      <right style="thin">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style="medium">
        <color rgb="FF000000"/>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rgb="FF000000"/>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indexed="64"/>
      </right>
      <top style="thin">
        <color indexed="64"/>
      </top>
      <bottom/>
      <diagonal/>
    </border>
    <border>
      <left style="thin">
        <color indexed="64"/>
      </left>
      <right/>
      <top style="thin">
        <color indexed="64"/>
      </top>
      <bottom/>
      <diagonal/>
    </border>
    <border>
      <left style="thick">
        <color rgb="FF366092"/>
      </left>
      <right style="thin">
        <color rgb="FF000000"/>
      </right>
      <top style="thin">
        <color rgb="FF000000"/>
      </top>
      <bottom style="thick">
        <color rgb="FF366092"/>
      </bottom>
      <diagonal/>
    </border>
    <border>
      <left style="thin">
        <color rgb="FF000000"/>
      </left>
      <right style="thick">
        <color rgb="FF366092"/>
      </right>
      <top style="thin">
        <color rgb="FF000000"/>
      </top>
      <bottom style="thick">
        <color rgb="FF366092"/>
      </bottom>
      <diagonal/>
    </border>
    <border>
      <left/>
      <right/>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style="thin">
        <color rgb="FF000000"/>
      </top>
      <bottom style="thin">
        <color indexed="64"/>
      </bottom>
      <diagonal/>
    </border>
    <border>
      <left style="medium">
        <color rgb="FF000000"/>
      </left>
      <right style="thin">
        <color rgb="FF000000"/>
      </right>
      <top/>
      <bottom/>
      <diagonal/>
    </border>
    <border>
      <left style="medium">
        <color rgb="FF000000"/>
      </left>
      <right style="thin">
        <color indexed="64"/>
      </right>
      <top style="thin">
        <color indexed="64"/>
      </top>
      <bottom style="thin">
        <color indexed="64"/>
      </bottom>
      <diagonal/>
    </border>
    <border>
      <left style="medium">
        <color rgb="FF000000"/>
      </left>
      <right/>
      <top style="thin">
        <color auto="1"/>
      </top>
      <bottom style="medium">
        <color rgb="FF000000"/>
      </bottom>
      <diagonal/>
    </border>
    <border>
      <left/>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medium">
        <color rgb="FF000000"/>
      </left>
      <right style="thin">
        <color rgb="FF000000"/>
      </right>
      <top style="thin">
        <color rgb="FF000000"/>
      </top>
      <bottom/>
      <diagonal/>
    </border>
    <border>
      <left/>
      <right style="medium">
        <color rgb="FF000000"/>
      </right>
      <top/>
      <bottom style="thin">
        <color auto="1"/>
      </bottom>
      <diagonal/>
    </border>
    <border>
      <left style="medium">
        <color rgb="FF000000"/>
      </left>
      <right/>
      <top/>
      <bottom style="thin">
        <color auto="1"/>
      </bottom>
      <diagonal/>
    </border>
    <border>
      <left style="medium">
        <color rgb="FF000000"/>
      </left>
      <right style="thin">
        <color indexed="64"/>
      </right>
      <top style="thin">
        <color indexed="64"/>
      </top>
      <bottom style="medium">
        <color rgb="FF000000"/>
      </bottom>
      <diagonal/>
    </border>
    <border>
      <left/>
      <right style="medium">
        <color rgb="FF000000"/>
      </right>
      <top style="thin">
        <color auto="1"/>
      </top>
      <bottom style="medium">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indexed="64"/>
      </right>
      <top/>
      <bottom style="medium">
        <color rgb="FF000000"/>
      </bottom>
      <diagonal/>
    </border>
    <border>
      <left style="thin">
        <color auto="1"/>
      </left>
      <right style="medium">
        <color rgb="FF000000"/>
      </right>
      <top/>
      <bottom style="medium">
        <color rgb="FF000000"/>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rgb="FF000000"/>
      </left>
      <right style="medium">
        <color rgb="FF000000"/>
      </right>
      <top/>
      <bottom/>
      <diagonal/>
    </border>
    <border>
      <left/>
      <right/>
      <top style="double">
        <color rgb="FF244061"/>
      </top>
      <bottom style="thin">
        <color rgb="FF244061"/>
      </bottom>
      <diagonal/>
    </border>
    <border>
      <left style="thick">
        <color rgb="FF366092"/>
      </left>
      <right style="thin">
        <color rgb="FF244061"/>
      </right>
      <top style="double">
        <color rgb="FF244061"/>
      </top>
      <bottom style="thin">
        <color rgb="FF244061"/>
      </bottom>
      <diagonal/>
    </border>
    <border>
      <left style="thick">
        <color rgb="FF366092"/>
      </left>
      <right style="thin">
        <color rgb="FF244061"/>
      </right>
      <top/>
      <bottom style="thin">
        <color rgb="FF244061"/>
      </bottom>
      <diagonal/>
    </border>
    <border>
      <left style="thick">
        <color rgb="FF366092"/>
      </left>
      <right style="thin">
        <color rgb="FF244061"/>
      </right>
      <top style="thin">
        <color rgb="FF244061"/>
      </top>
      <bottom style="thin">
        <color rgb="FF244061"/>
      </bottom>
      <diagonal/>
    </border>
    <border>
      <left style="thick">
        <color rgb="FF366092"/>
      </left>
      <right style="thin">
        <color rgb="FF244061"/>
      </right>
      <top style="thin">
        <color rgb="FF244061"/>
      </top>
      <bottom/>
      <diagonal/>
    </border>
    <border>
      <left style="thick">
        <color rgb="FF366092"/>
      </left>
      <right style="thin">
        <color rgb="FF244061"/>
      </right>
      <top style="thin">
        <color rgb="FF244061"/>
      </top>
      <bottom style="thin">
        <color rgb="FF000000"/>
      </bottom>
      <diagonal/>
    </border>
    <border>
      <left style="thick">
        <color rgb="FF366092"/>
      </left>
      <right style="thin">
        <color rgb="FF244061"/>
      </right>
      <top/>
      <bottom/>
      <diagonal/>
    </border>
    <border>
      <left style="thick">
        <color rgb="FF366092"/>
      </left>
      <right style="thin">
        <color rgb="FF244061"/>
      </right>
      <top style="thin">
        <color rgb="FF000000"/>
      </top>
      <bottom style="thin">
        <color rgb="FF000000"/>
      </bottom>
      <diagonal/>
    </border>
    <border>
      <left style="thick">
        <color rgb="FF366092"/>
      </left>
      <right/>
      <top style="thin">
        <color rgb="FF244061"/>
      </top>
      <bottom style="thin">
        <color rgb="FF24406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rgb="FF000000"/>
      </bottom>
      <diagonal/>
    </border>
    <border>
      <left/>
      <right style="medium">
        <color auto="1"/>
      </right>
      <top/>
      <bottom style="medium">
        <color rgb="FF000000"/>
      </bottom>
      <diagonal/>
    </border>
    <border>
      <left style="medium">
        <color rgb="FF000000"/>
      </left>
      <right style="thin">
        <color rgb="FF244061"/>
      </right>
      <top style="thin">
        <color rgb="FF000000"/>
      </top>
      <bottom style="thin">
        <color indexed="64"/>
      </bottom>
      <diagonal/>
    </border>
    <border>
      <left style="thin">
        <color rgb="FF000000"/>
      </left>
      <right style="medium">
        <color rgb="FF000000"/>
      </right>
      <top style="medium">
        <color rgb="FF000000"/>
      </top>
      <bottom style="thin">
        <color indexed="64"/>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right style="medium">
        <color auto="1"/>
      </right>
      <top style="thin">
        <color indexed="64"/>
      </top>
      <bottom style="medium">
        <color rgb="FF000000"/>
      </bottom>
      <diagonal/>
    </border>
    <border>
      <left style="medium">
        <color auto="1"/>
      </left>
      <right/>
      <top style="medium">
        <color rgb="FF000000"/>
      </top>
      <bottom/>
      <diagonal/>
    </border>
    <border>
      <left style="thin">
        <color auto="1"/>
      </left>
      <right/>
      <top style="medium">
        <color rgb="FF000000"/>
      </top>
      <bottom style="thin">
        <color indexed="64"/>
      </bottom>
      <diagonal/>
    </border>
    <border>
      <left/>
      <right style="medium">
        <color rgb="FF000000"/>
      </right>
      <top style="medium">
        <color rgb="FF000000"/>
      </top>
      <bottom style="thin">
        <color indexed="64"/>
      </bottom>
      <diagonal/>
    </border>
    <border>
      <left style="medium">
        <color auto="1"/>
      </left>
      <right/>
      <top style="thin">
        <color auto="1"/>
      </top>
      <bottom style="medium">
        <color rgb="FF000000"/>
      </bottom>
      <diagonal/>
    </border>
    <border>
      <left/>
      <right style="thin">
        <color auto="1"/>
      </right>
      <top style="thin">
        <color auto="1"/>
      </top>
      <bottom style="medium">
        <color rgb="FF000000"/>
      </bottom>
      <diagonal/>
    </border>
    <border>
      <left style="thin">
        <color auto="1"/>
      </left>
      <right/>
      <top style="thin">
        <color indexed="64"/>
      </top>
      <bottom style="medium">
        <color rgb="FF000000"/>
      </bottom>
      <diagonal/>
    </border>
    <border>
      <left style="thin">
        <color rgb="FF000000"/>
      </left>
      <right/>
      <top style="thin">
        <color rgb="FF000000"/>
      </top>
      <bottom style="thin">
        <color rgb="FF000000"/>
      </bottom>
      <diagonal/>
    </border>
    <border>
      <left/>
      <right/>
      <top style="thin">
        <color rgb="FF000000"/>
      </top>
      <bottom style="medium">
        <color indexed="64"/>
      </bottom>
      <diagonal/>
    </border>
    <border>
      <left style="thin">
        <color indexed="64"/>
      </left>
      <right/>
      <top/>
      <bottom/>
      <diagonal/>
    </border>
    <border>
      <left/>
      <right style="thin">
        <color indexed="64"/>
      </right>
      <top/>
      <bottom/>
      <diagonal/>
    </border>
    <border>
      <left style="medium">
        <color auto="1"/>
      </left>
      <right/>
      <top style="thin">
        <color rgb="FF000000"/>
      </top>
      <bottom style="thin">
        <color rgb="FF000000"/>
      </bottom>
      <diagonal/>
    </border>
    <border>
      <left style="thin">
        <color rgb="FF000000"/>
      </left>
      <right style="medium">
        <color auto="1"/>
      </right>
      <top style="thin">
        <color rgb="FF000000"/>
      </top>
      <bottom style="thin">
        <color rgb="FF000000"/>
      </bottom>
      <diagonal/>
    </border>
    <border>
      <left style="medium">
        <color auto="1"/>
      </left>
      <right style="thin">
        <color indexed="64"/>
      </right>
      <top style="thin">
        <color rgb="FF000000"/>
      </top>
      <bottom style="medium">
        <color indexed="64"/>
      </bottom>
      <diagonal/>
    </border>
    <border>
      <left style="thin">
        <color rgb="FF000000"/>
      </left>
      <right style="medium">
        <color auto="1"/>
      </right>
      <top style="thin">
        <color rgb="FF000000"/>
      </top>
      <bottom style="medium">
        <color indexed="64"/>
      </bottom>
      <diagonal/>
    </border>
    <border>
      <left style="thick">
        <color theme="5" tint="-0.24994659260841701"/>
      </left>
      <right/>
      <top style="thick">
        <color theme="5" tint="-0.24994659260841701"/>
      </top>
      <bottom/>
      <diagonal/>
    </border>
    <border>
      <left/>
      <right/>
      <top style="thick">
        <color theme="5" tint="-0.24994659260841701"/>
      </top>
      <bottom/>
      <diagonal/>
    </border>
    <border>
      <left/>
      <right style="thick">
        <color theme="5" tint="-0.24994659260841701"/>
      </right>
      <top style="thick">
        <color theme="5" tint="-0.24994659260841701"/>
      </top>
      <bottom/>
      <diagonal/>
    </border>
    <border>
      <left style="thick">
        <color theme="5" tint="-0.24994659260841701"/>
      </left>
      <right/>
      <top/>
      <bottom/>
      <diagonal/>
    </border>
    <border>
      <left/>
      <right style="thick">
        <color theme="5" tint="-0.24994659260841701"/>
      </right>
      <top/>
      <bottom/>
      <diagonal/>
    </border>
    <border>
      <left style="thick">
        <color theme="5" tint="-0.24994659260841701"/>
      </left>
      <right/>
      <top/>
      <bottom style="thick">
        <color theme="5" tint="-0.24994659260841701"/>
      </bottom>
      <diagonal/>
    </border>
    <border>
      <left/>
      <right/>
      <top/>
      <bottom style="thick">
        <color theme="5" tint="-0.24994659260841701"/>
      </bottom>
      <diagonal/>
    </border>
    <border>
      <left/>
      <right style="thick">
        <color theme="5" tint="-0.24994659260841701"/>
      </right>
      <top/>
      <bottom style="thick">
        <color theme="5" tint="-0.24994659260841701"/>
      </bottom>
      <diagonal/>
    </border>
    <border>
      <left style="thin">
        <color auto="1"/>
      </left>
      <right style="medium">
        <color auto="1"/>
      </right>
      <top/>
      <bottom/>
      <diagonal/>
    </border>
    <border>
      <left style="thin">
        <color rgb="FF000000"/>
      </left>
      <right style="medium">
        <color auto="1"/>
      </right>
      <top style="thin">
        <color auto="1"/>
      </top>
      <bottom style="thin">
        <color rgb="FF000000"/>
      </bottom>
      <diagonal/>
    </border>
    <border>
      <left style="thin">
        <color indexed="64"/>
      </left>
      <right/>
      <top style="medium">
        <color indexed="64"/>
      </top>
      <bottom/>
      <diagonal/>
    </border>
    <border>
      <left/>
      <right style="thin">
        <color auto="1"/>
      </right>
      <top style="medium">
        <color indexed="64"/>
      </top>
      <bottom/>
      <diagonal/>
    </border>
    <border>
      <left style="thin">
        <color indexed="64"/>
      </left>
      <right/>
      <top/>
      <bottom style="medium">
        <color auto="1"/>
      </bottom>
      <diagonal/>
    </border>
  </borders>
  <cellStyleXfs count="4">
    <xf numFmtId="0" fontId="0" fillId="0" borderId="0"/>
    <xf numFmtId="9" fontId="26" fillId="0" borderId="0" applyFont="0" applyFill="0" applyBorder="0" applyAlignment="0" applyProtection="0"/>
    <xf numFmtId="43" fontId="26" fillId="0" borderId="0" applyFont="0" applyFill="0" applyBorder="0" applyAlignment="0" applyProtection="0"/>
    <xf numFmtId="44" fontId="26" fillId="0" borderId="0" applyFont="0" applyFill="0" applyBorder="0" applyAlignment="0" applyProtection="0"/>
  </cellStyleXfs>
  <cellXfs count="516">
    <xf numFmtId="0" fontId="0" fillId="0" borderId="0" xfId="0"/>
    <xf numFmtId="0" fontId="3" fillId="0" borderId="0" xfId="0" applyFont="1"/>
    <xf numFmtId="0" fontId="3" fillId="0" borderId="0" xfId="0" applyFont="1" applyAlignment="1">
      <alignment vertical="center" wrapText="1"/>
    </xf>
    <xf numFmtId="0" fontId="1" fillId="0" borderId="0" xfId="0" applyFont="1"/>
    <xf numFmtId="0" fontId="3" fillId="0" borderId="0" xfId="0" applyFont="1" applyAlignment="1">
      <alignment horizontal="left"/>
    </xf>
    <xf numFmtId="0" fontId="9" fillId="0" borderId="0" xfId="0" applyFont="1"/>
    <xf numFmtId="0" fontId="16" fillId="0" borderId="0" xfId="0" applyFont="1"/>
    <xf numFmtId="0" fontId="13" fillId="0" borderId="0" xfId="0" applyFont="1"/>
    <xf numFmtId="0" fontId="25" fillId="0" borderId="0" xfId="0" applyFont="1"/>
    <xf numFmtId="2" fontId="9" fillId="0" borderId="0" xfId="0" applyNumberFormat="1" applyFont="1"/>
    <xf numFmtId="0" fontId="0" fillId="0" borderId="0" xfId="0" applyAlignment="1">
      <alignment vertical="center"/>
    </xf>
    <xf numFmtId="165" fontId="16" fillId="8" borderId="24" xfId="0" applyNumberFormat="1" applyFont="1" applyFill="1" applyBorder="1" applyAlignment="1" applyProtection="1">
      <alignment horizontal="right"/>
      <protection locked="0"/>
    </xf>
    <xf numFmtId="165" fontId="16" fillId="13" borderId="24" xfId="0" applyNumberFormat="1" applyFont="1" applyFill="1" applyBorder="1" applyAlignment="1" applyProtection="1">
      <alignment horizontal="right"/>
      <protection locked="0"/>
    </xf>
    <xf numFmtId="165" fontId="16" fillId="13" borderId="97" xfId="0" applyNumberFormat="1" applyFont="1" applyFill="1" applyBorder="1" applyAlignment="1" applyProtection="1">
      <alignment horizontal="right"/>
      <protection locked="0"/>
    </xf>
    <xf numFmtId="0" fontId="0" fillId="0" borderId="0" xfId="0" applyAlignment="1">
      <alignment wrapText="1"/>
    </xf>
    <xf numFmtId="0" fontId="0" fillId="14" borderId="0" xfId="0" applyFill="1"/>
    <xf numFmtId="8" fontId="16" fillId="8" borderId="24" xfId="0" applyNumberFormat="1" applyFont="1" applyFill="1" applyBorder="1" applyAlignment="1" applyProtection="1">
      <alignment horizontal="right"/>
      <protection locked="0"/>
    </xf>
    <xf numFmtId="8" fontId="16" fillId="8" borderId="91" xfId="0" applyNumberFormat="1" applyFont="1" applyFill="1" applyBorder="1" applyAlignment="1" applyProtection="1">
      <alignment horizontal="right"/>
      <protection locked="0"/>
    </xf>
    <xf numFmtId="8" fontId="16" fillId="8" borderId="96" xfId="0" applyNumberFormat="1" applyFont="1" applyFill="1" applyBorder="1" applyAlignment="1" applyProtection="1">
      <alignment horizontal="right"/>
      <protection locked="0"/>
    </xf>
    <xf numFmtId="49" fontId="16" fillId="8" borderId="24" xfId="0" applyNumberFormat="1" applyFont="1" applyFill="1" applyBorder="1" applyAlignment="1" applyProtection="1">
      <alignment horizontal="center"/>
      <protection locked="0"/>
    </xf>
    <xf numFmtId="49" fontId="16" fillId="13" borderId="24" xfId="0" applyNumberFormat="1" applyFont="1" applyFill="1" applyBorder="1" applyAlignment="1" applyProtection="1">
      <alignment horizontal="center"/>
      <protection locked="0"/>
    </xf>
    <xf numFmtId="49" fontId="16" fillId="13" borderId="97" xfId="0" applyNumberFormat="1" applyFont="1" applyFill="1" applyBorder="1" applyAlignment="1" applyProtection="1">
      <alignment horizontal="center"/>
      <protection locked="0"/>
    </xf>
    <xf numFmtId="8" fontId="16" fillId="8" borderId="97" xfId="0" applyNumberFormat="1" applyFont="1" applyFill="1" applyBorder="1" applyAlignment="1" applyProtection="1">
      <alignment horizontal="right"/>
      <protection locked="0"/>
    </xf>
    <xf numFmtId="0" fontId="9" fillId="20" borderId="13" xfId="0" applyFont="1" applyFill="1" applyBorder="1"/>
    <xf numFmtId="0" fontId="9" fillId="20" borderId="90" xfId="0" applyFont="1" applyFill="1" applyBorder="1"/>
    <xf numFmtId="44" fontId="32" fillId="18" borderId="46" xfId="0" applyNumberFormat="1" applyFont="1" applyFill="1" applyBorder="1"/>
    <xf numFmtId="44" fontId="34" fillId="18" borderId="71" xfId="0" applyNumberFormat="1" applyFont="1" applyFill="1" applyBorder="1"/>
    <xf numFmtId="0" fontId="8" fillId="18" borderId="39" xfId="0" applyFont="1" applyFill="1" applyBorder="1" applyAlignment="1">
      <alignment horizontal="center"/>
    </xf>
    <xf numFmtId="0" fontId="8" fillId="18" borderId="78" xfId="0" applyFont="1" applyFill="1" applyBorder="1" applyAlignment="1">
      <alignment horizontal="center"/>
    </xf>
    <xf numFmtId="0" fontId="8" fillId="18" borderId="79" xfId="0" applyFont="1" applyFill="1" applyBorder="1" applyAlignment="1">
      <alignment horizontal="center"/>
    </xf>
    <xf numFmtId="0" fontId="8" fillId="18" borderId="80" xfId="0" applyFont="1" applyFill="1" applyBorder="1" applyAlignment="1">
      <alignment horizontal="center"/>
    </xf>
    <xf numFmtId="0" fontId="8" fillId="18" borderId="49" xfId="0" applyFont="1" applyFill="1" applyBorder="1" applyAlignment="1">
      <alignment horizontal="center"/>
    </xf>
    <xf numFmtId="2" fontId="16" fillId="8" borderId="95" xfId="2" applyNumberFormat="1" applyFont="1" applyFill="1" applyBorder="1" applyAlignment="1" applyProtection="1">
      <alignment horizontal="right"/>
      <protection locked="0"/>
    </xf>
    <xf numFmtId="2" fontId="16" fillId="8" borderId="110" xfId="2" applyNumberFormat="1" applyFont="1" applyFill="1" applyBorder="1" applyAlignment="1" applyProtection="1">
      <alignment horizontal="right"/>
      <protection locked="0"/>
    </xf>
    <xf numFmtId="2" fontId="16" fillId="8" borderId="112" xfId="2" applyNumberFormat="1" applyFont="1" applyFill="1" applyBorder="1" applyAlignment="1" applyProtection="1">
      <alignment horizontal="right"/>
      <protection locked="0"/>
    </xf>
    <xf numFmtId="2" fontId="16" fillId="13" borderId="95" xfId="0" applyNumberFormat="1" applyFont="1" applyFill="1" applyBorder="1" applyAlignment="1" applyProtection="1">
      <alignment horizontal="right"/>
      <protection locked="0"/>
    </xf>
    <xf numFmtId="2" fontId="16" fillId="13" borderId="28" xfId="0" applyNumberFormat="1" applyFont="1" applyFill="1" applyBorder="1" applyAlignment="1" applyProtection="1">
      <alignment horizontal="right"/>
      <protection locked="0"/>
    </xf>
    <xf numFmtId="0" fontId="8" fillId="18" borderId="111" xfId="0" applyFont="1" applyFill="1" applyBorder="1" applyAlignment="1">
      <alignment horizontal="center"/>
    </xf>
    <xf numFmtId="0" fontId="8" fillId="18" borderId="46" xfId="0" applyFont="1" applyFill="1" applyBorder="1" applyAlignment="1">
      <alignment horizontal="center"/>
    </xf>
    <xf numFmtId="2" fontId="16" fillId="13" borderId="112" xfId="0" applyNumberFormat="1" applyFont="1" applyFill="1" applyBorder="1" applyAlignment="1" applyProtection="1">
      <alignment horizontal="right"/>
      <protection locked="0"/>
    </xf>
    <xf numFmtId="8" fontId="31" fillId="4" borderId="22" xfId="0" applyNumberFormat="1" applyFont="1" applyFill="1" applyBorder="1" applyAlignment="1">
      <alignment horizontal="right"/>
    </xf>
    <xf numFmtId="2" fontId="16" fillId="13" borderId="114" xfId="0" applyNumberFormat="1" applyFont="1" applyFill="1" applyBorder="1" applyAlignment="1" applyProtection="1">
      <alignment horizontal="right"/>
      <protection locked="0"/>
    </xf>
    <xf numFmtId="8" fontId="31" fillId="4" borderId="44" xfId="0" applyNumberFormat="1" applyFont="1" applyFill="1" applyBorder="1" applyAlignment="1">
      <alignment horizontal="right"/>
    </xf>
    <xf numFmtId="2" fontId="16" fillId="8" borderId="94" xfId="2" applyNumberFormat="1" applyFont="1" applyFill="1" applyBorder="1" applyAlignment="1" applyProtection="1">
      <alignment horizontal="right"/>
      <protection locked="0"/>
    </xf>
    <xf numFmtId="0" fontId="8" fillId="18" borderId="92" xfId="0" applyFont="1" applyFill="1" applyBorder="1" applyAlignment="1">
      <alignment horizontal="center"/>
    </xf>
    <xf numFmtId="2" fontId="16" fillId="13" borderId="112" xfId="3" applyNumberFormat="1" applyFont="1" applyFill="1" applyBorder="1" applyAlignment="1" applyProtection="1">
      <alignment horizontal="right"/>
      <protection locked="0"/>
    </xf>
    <xf numFmtId="0" fontId="9" fillId="20" borderId="45" xfId="0" applyFont="1" applyFill="1" applyBorder="1"/>
    <xf numFmtId="0" fontId="9" fillId="20" borderId="46" xfId="0" applyFont="1" applyFill="1" applyBorder="1"/>
    <xf numFmtId="0" fontId="1" fillId="0" borderId="1" xfId="0" applyFont="1" applyBorder="1" applyAlignment="1">
      <alignment horizontal="center" wrapText="1"/>
    </xf>
    <xf numFmtId="0" fontId="1" fillId="0" borderId="3" xfId="0" applyFont="1" applyBorder="1" applyAlignment="1">
      <alignment horizontal="center" wrapText="1"/>
    </xf>
    <xf numFmtId="0" fontId="4" fillId="3" borderId="4" xfId="0" applyFont="1" applyFill="1" applyBorder="1" applyAlignment="1">
      <alignment horizontal="right" wrapText="1"/>
    </xf>
    <xf numFmtId="0" fontId="5" fillId="3" borderId="5" xfId="0" applyFont="1" applyFill="1" applyBorder="1" applyAlignment="1">
      <alignment horizontal="center" wrapText="1"/>
    </xf>
    <xf numFmtId="0" fontId="1" fillId="0" borderId="6" xfId="0" applyFont="1" applyBorder="1" applyAlignment="1">
      <alignment horizontal="right"/>
    </xf>
    <xf numFmtId="43" fontId="3" fillId="0" borderId="7" xfId="2" applyFont="1" applyBorder="1" applyAlignment="1" applyProtection="1">
      <alignment horizontal="right"/>
    </xf>
    <xf numFmtId="0" fontId="1" fillId="0" borderId="134" xfId="0" applyFont="1" applyBorder="1" applyAlignment="1">
      <alignment horizontal="center" wrapText="1"/>
    </xf>
    <xf numFmtId="0" fontId="1" fillId="0" borderId="9" xfId="0" applyFont="1" applyBorder="1" applyAlignment="1">
      <alignment horizontal="right"/>
    </xf>
    <xf numFmtId="44" fontId="3" fillId="0" borderId="10" xfId="0" applyNumberFormat="1" applyFont="1" applyBorder="1" applyAlignment="1">
      <alignment horizontal="right"/>
    </xf>
    <xf numFmtId="164" fontId="6" fillId="3" borderId="48" xfId="0" applyNumberFormat="1" applyFont="1" applyFill="1" applyBorder="1" applyAlignment="1">
      <alignment horizontal="center" wrapText="1"/>
    </xf>
    <xf numFmtId="164" fontId="1" fillId="3" borderId="4" xfId="0" applyNumberFormat="1" applyFont="1" applyFill="1" applyBorder="1" applyAlignment="1">
      <alignment horizontal="right"/>
    </xf>
    <xf numFmtId="0" fontId="3" fillId="3" borderId="5" xfId="0" applyFont="1" applyFill="1" applyBorder="1" applyAlignment="1">
      <alignment horizontal="center"/>
    </xf>
    <xf numFmtId="0" fontId="1" fillId="0" borderId="11" xfId="0" applyFont="1" applyBorder="1" applyAlignment="1">
      <alignment horizontal="right" wrapText="1" readingOrder="1"/>
    </xf>
    <xf numFmtId="44" fontId="3" fillId="0" borderId="12" xfId="3" applyFont="1" applyBorder="1" applyProtection="1"/>
    <xf numFmtId="0" fontId="1" fillId="2" borderId="13" xfId="0" applyFont="1" applyFill="1" applyBorder="1" applyAlignment="1">
      <alignment horizontal="left"/>
    </xf>
    <xf numFmtId="0" fontId="1" fillId="2" borderId="14" xfId="0" applyFont="1" applyFill="1" applyBorder="1"/>
    <xf numFmtId="0" fontId="1" fillId="2" borderId="14" xfId="0" applyFont="1" applyFill="1" applyBorder="1" applyAlignment="1">
      <alignment horizontal="center"/>
    </xf>
    <xf numFmtId="0" fontId="3" fillId="0" borderId="15" xfId="0" applyFont="1" applyBorder="1"/>
    <xf numFmtId="0" fontId="1" fillId="0" borderId="16" xfId="0" applyFont="1" applyBorder="1" applyAlignment="1">
      <alignment horizontal="left"/>
    </xf>
    <xf numFmtId="0" fontId="1" fillId="0" borderId="17" xfId="0" applyFont="1" applyBorder="1" applyAlignment="1">
      <alignment horizontal="right"/>
    </xf>
    <xf numFmtId="10" fontId="3" fillId="0" borderId="18" xfId="1" applyNumberFormat="1" applyFont="1" applyBorder="1" applyAlignment="1" applyProtection="1">
      <alignment horizontal="center"/>
    </xf>
    <xf numFmtId="43" fontId="3" fillId="0" borderId="19" xfId="2" applyFont="1" applyBorder="1" applyProtection="1"/>
    <xf numFmtId="0" fontId="1" fillId="11" borderId="20" xfId="0" applyFont="1" applyFill="1" applyBorder="1" applyAlignment="1">
      <alignment horizontal="center" vertical="center" wrapText="1"/>
    </xf>
    <xf numFmtId="0" fontId="1" fillId="11" borderId="89" xfId="0" applyFont="1" applyFill="1" applyBorder="1" applyAlignment="1">
      <alignment horizontal="center" vertical="center" wrapText="1"/>
    </xf>
    <xf numFmtId="0" fontId="1" fillId="11" borderId="90" xfId="0" applyFont="1" applyFill="1" applyBorder="1" applyAlignment="1">
      <alignment horizontal="center" vertical="center" wrapText="1"/>
    </xf>
    <xf numFmtId="0" fontId="1" fillId="11" borderId="21" xfId="0" applyFont="1" applyFill="1" applyBorder="1" applyAlignment="1">
      <alignment horizontal="center" vertical="center" wrapText="1"/>
    </xf>
    <xf numFmtId="0" fontId="1" fillId="11" borderId="22" xfId="0" applyFont="1" applyFill="1" applyBorder="1" applyAlignment="1">
      <alignment horizontal="center" vertical="center" wrapText="1"/>
    </xf>
    <xf numFmtId="0" fontId="3" fillId="0" borderId="94" xfId="0" applyFont="1" applyBorder="1" applyAlignment="1">
      <alignment horizontal="left"/>
    </xf>
    <xf numFmtId="0" fontId="3" fillId="0" borderId="104" xfId="0" applyFont="1" applyBorder="1"/>
    <xf numFmtId="0" fontId="3" fillId="0" borderId="105" xfId="0" applyFont="1" applyBorder="1" applyAlignment="1">
      <alignment horizontal="center"/>
    </xf>
    <xf numFmtId="44" fontId="3" fillId="0" borderId="95" xfId="0" applyNumberFormat="1" applyFont="1" applyBorder="1" applyAlignment="1">
      <alignment horizontal="left"/>
    </xf>
    <xf numFmtId="44" fontId="3" fillId="4" borderId="25" xfId="0" applyNumberFormat="1" applyFont="1" applyFill="1" applyBorder="1"/>
    <xf numFmtId="0" fontId="3" fillId="0" borderId="90" xfId="0" applyFont="1" applyBorder="1" applyAlignment="1">
      <alignment horizontal="left"/>
    </xf>
    <xf numFmtId="0" fontId="3" fillId="0" borderId="90" xfId="0" applyFont="1" applyBorder="1"/>
    <xf numFmtId="0" fontId="3" fillId="0" borderId="104" xfId="0" applyFont="1" applyBorder="1" applyAlignment="1">
      <alignment horizontal="left"/>
    </xf>
    <xf numFmtId="0" fontId="3" fillId="0" borderId="3" xfId="0" applyFont="1" applyBorder="1" applyAlignment="1">
      <alignment horizontal="right"/>
    </xf>
    <xf numFmtId="0" fontId="3" fillId="0" borderId="1" xfId="0" applyFont="1" applyBorder="1" applyAlignment="1">
      <alignment horizontal="right"/>
    </xf>
    <xf numFmtId="0" fontId="3" fillId="0" borderId="30" xfId="0" applyFont="1" applyBorder="1" applyAlignment="1">
      <alignment horizontal="left"/>
    </xf>
    <xf numFmtId="10" fontId="3" fillId="0" borderId="31" xfId="0" applyNumberFormat="1" applyFont="1" applyBorder="1" applyAlignment="1">
      <alignment horizontal="right"/>
    </xf>
    <xf numFmtId="44" fontId="3" fillId="0" borderId="32" xfId="0" applyNumberFormat="1" applyFont="1" applyBorder="1" applyAlignment="1">
      <alignment vertical="center"/>
    </xf>
    <xf numFmtId="44" fontId="3" fillId="4" borderId="33" xfId="0" applyNumberFormat="1" applyFont="1" applyFill="1" applyBorder="1" applyAlignment="1">
      <alignment vertical="center"/>
    </xf>
    <xf numFmtId="0" fontId="3" fillId="0" borderId="34" xfId="0" applyFont="1" applyBorder="1" applyAlignment="1">
      <alignment horizontal="left"/>
    </xf>
    <xf numFmtId="10" fontId="3" fillId="0" borderId="0" xfId="0" applyNumberFormat="1" applyFont="1"/>
    <xf numFmtId="44" fontId="3" fillId="0" borderId="35" xfId="0" applyNumberFormat="1" applyFont="1" applyBorder="1" applyAlignment="1">
      <alignment vertical="center"/>
    </xf>
    <xf numFmtId="44" fontId="3" fillId="4" borderId="36" xfId="0" applyNumberFormat="1" applyFont="1" applyFill="1" applyBorder="1" applyAlignment="1">
      <alignment vertical="center"/>
    </xf>
    <xf numFmtId="0" fontId="7" fillId="0" borderId="0" xfId="0" applyFont="1"/>
    <xf numFmtId="44" fontId="3" fillId="0" borderId="37" xfId="0" applyNumberFormat="1" applyFont="1" applyBorder="1" applyAlignment="1">
      <alignment horizontal="left"/>
    </xf>
    <xf numFmtId="0" fontId="3" fillId="0" borderId="3" xfId="0" applyFont="1" applyBorder="1"/>
    <xf numFmtId="0" fontId="3" fillId="0" borderId="34" xfId="0" applyFont="1" applyBorder="1"/>
    <xf numFmtId="44" fontId="3" fillId="0" borderId="23" xfId="0" applyNumberFormat="1" applyFont="1" applyBorder="1" applyAlignment="1">
      <alignment horizontal="left"/>
    </xf>
    <xf numFmtId="10" fontId="1" fillId="0" borderId="0" xfId="0" applyNumberFormat="1" applyFont="1"/>
    <xf numFmtId="44" fontId="1" fillId="0" borderId="39" xfId="0" applyNumberFormat="1" applyFont="1" applyBorder="1" applyAlignment="1">
      <alignment horizontal="left"/>
    </xf>
    <xf numFmtId="44" fontId="1" fillId="4" borderId="40" xfId="0" applyNumberFormat="1" applyFont="1" applyFill="1" applyBorder="1"/>
    <xf numFmtId="0" fontId="3" fillId="0" borderId="72" xfId="0" applyFont="1" applyBorder="1"/>
    <xf numFmtId="44" fontId="3" fillId="0" borderId="91" xfId="0" applyNumberFormat="1" applyFont="1" applyBorder="1" applyAlignment="1">
      <alignment horizontal="left" vertical="center"/>
    </xf>
    <xf numFmtId="7" fontId="1" fillId="5" borderId="38" xfId="0" applyNumberFormat="1" applyFont="1" applyFill="1" applyBorder="1" applyAlignment="1">
      <alignment vertical="center"/>
    </xf>
    <xf numFmtId="0" fontId="3" fillId="0" borderId="101" xfId="0" applyFont="1" applyBorder="1" applyAlignment="1">
      <alignment horizontal="right" indent="1"/>
    </xf>
    <xf numFmtId="0" fontId="1" fillId="0" borderId="90" xfId="0" applyFont="1" applyBorder="1"/>
    <xf numFmtId="10" fontId="30" fillId="0" borderId="90" xfId="0" applyNumberFormat="1" applyFont="1" applyBorder="1" applyAlignment="1">
      <alignment horizontal="right"/>
    </xf>
    <xf numFmtId="44" fontId="1" fillId="0" borderId="96" xfId="0" applyNumberFormat="1" applyFont="1" applyBorder="1" applyAlignment="1">
      <alignment horizontal="left"/>
    </xf>
    <xf numFmtId="44" fontId="1" fillId="5" borderId="44" xfId="0" applyNumberFormat="1" applyFont="1" applyFill="1" applyBorder="1" applyAlignment="1">
      <alignment horizontal="right"/>
    </xf>
    <xf numFmtId="0" fontId="8" fillId="0" borderId="101" xfId="0" applyFont="1" applyBorder="1" applyAlignment="1">
      <alignment horizontal="center"/>
    </xf>
    <xf numFmtId="3" fontId="3" fillId="0" borderId="90" xfId="0" applyNumberFormat="1" applyFont="1" applyBorder="1" applyAlignment="1">
      <alignment horizontal="left"/>
    </xf>
    <xf numFmtId="3" fontId="3" fillId="0" borderId="90" xfId="0" applyNumberFormat="1" applyFont="1" applyBorder="1" applyAlignment="1">
      <alignment horizontal="right"/>
    </xf>
    <xf numFmtId="0" fontId="3" fillId="3" borderId="102" xfId="0" applyFont="1" applyFill="1" applyBorder="1" applyAlignment="1">
      <alignment horizontal="left"/>
    </xf>
    <xf numFmtId="0" fontId="1" fillId="3" borderId="100" xfId="0" applyFont="1" applyFill="1" applyBorder="1"/>
    <xf numFmtId="0" fontId="3" fillId="0" borderId="100" xfId="0" applyFont="1" applyBorder="1" applyAlignment="1">
      <alignment horizontal="right" vertical="top"/>
    </xf>
    <xf numFmtId="0" fontId="3" fillId="3" borderId="13" xfId="0" applyFont="1" applyFill="1" applyBorder="1" applyAlignment="1">
      <alignment horizontal="left"/>
    </xf>
    <xf numFmtId="0" fontId="1" fillId="3" borderId="90" xfId="0" applyFont="1" applyFill="1" applyBorder="1"/>
    <xf numFmtId="0" fontId="3" fillId="0" borderId="90" xfId="0" applyFont="1" applyBorder="1" applyAlignment="1">
      <alignment horizontal="right" vertical="top"/>
    </xf>
    <xf numFmtId="44" fontId="3" fillId="0" borderId="90" xfId="0" applyNumberFormat="1" applyFont="1" applyBorder="1" applyAlignment="1">
      <alignment horizontal="right" vertical="top"/>
    </xf>
    <xf numFmtId="44" fontId="3" fillId="0" borderId="44" xfId="0" applyNumberFormat="1" applyFont="1" applyBorder="1" applyAlignment="1">
      <alignment vertical="top"/>
    </xf>
    <xf numFmtId="0" fontId="3" fillId="0" borderId="3" xfId="0" applyFont="1" applyBorder="1" applyAlignment="1">
      <alignment horizontal="right" vertical="top"/>
    </xf>
    <xf numFmtId="0" fontId="3" fillId="0" borderId="0" xfId="0" applyFont="1" applyAlignment="1">
      <alignment vertical="top"/>
    </xf>
    <xf numFmtId="0" fontId="3" fillId="0" borderId="15" xfId="0" applyFont="1" applyBorder="1" applyAlignment="1">
      <alignment vertical="top"/>
    </xf>
    <xf numFmtId="0" fontId="3" fillId="0" borderId="8" xfId="0" applyFont="1" applyBorder="1" applyAlignment="1">
      <alignment horizontal="right" vertical="top"/>
    </xf>
    <xf numFmtId="0" fontId="3" fillId="0" borderId="0" xfId="0" applyFont="1" applyAlignment="1">
      <alignment horizontal="right" vertical="top"/>
    </xf>
    <xf numFmtId="1" fontId="19" fillId="3" borderId="128" xfId="0" applyNumberFormat="1" applyFont="1" applyFill="1" applyBorder="1" applyAlignment="1">
      <alignment horizontal="left" readingOrder="1"/>
    </xf>
    <xf numFmtId="0" fontId="19" fillId="3" borderId="129" xfId="0" applyFont="1" applyFill="1" applyBorder="1" applyAlignment="1">
      <alignment horizontal="left" readingOrder="1"/>
    </xf>
    <xf numFmtId="0" fontId="19" fillId="3" borderId="130" xfId="0" applyFont="1" applyFill="1" applyBorder="1"/>
    <xf numFmtId="1" fontId="19" fillId="3" borderId="131" xfId="0" applyNumberFormat="1" applyFont="1" applyFill="1" applyBorder="1" applyAlignment="1">
      <alignment horizontal="left" readingOrder="1"/>
    </xf>
    <xf numFmtId="166" fontId="19" fillId="3" borderId="131" xfId="0" applyNumberFormat="1" applyFont="1" applyFill="1" applyBorder="1" applyAlignment="1">
      <alignment horizontal="left" readingOrder="1"/>
    </xf>
    <xf numFmtId="0" fontId="17" fillId="21" borderId="131" xfId="0" applyFont="1" applyFill="1" applyBorder="1" applyAlignment="1">
      <alignment horizontal="left" readingOrder="1"/>
    </xf>
    <xf numFmtId="0" fontId="9" fillId="21" borderId="132" xfId="0" applyFont="1" applyFill="1" applyBorder="1" applyAlignment="1">
      <alignment horizontal="left" readingOrder="1"/>
    </xf>
    <xf numFmtId="0" fontId="17" fillId="21" borderId="132" xfId="0" applyFont="1" applyFill="1" applyBorder="1" applyAlignment="1">
      <alignment horizontal="left" readingOrder="1"/>
    </xf>
    <xf numFmtId="0" fontId="9" fillId="21" borderId="133" xfId="0" applyFont="1" applyFill="1" applyBorder="1"/>
    <xf numFmtId="0" fontId="17" fillId="3" borderId="131" xfId="0" applyFont="1" applyFill="1" applyBorder="1" applyAlignment="1">
      <alignment horizontal="left" readingOrder="1"/>
    </xf>
    <xf numFmtId="0" fontId="17" fillId="3" borderId="132" xfId="0" applyFont="1" applyFill="1" applyBorder="1" applyAlignment="1">
      <alignment horizontal="left" readingOrder="1"/>
    </xf>
    <xf numFmtId="0" fontId="9" fillId="16" borderId="132" xfId="0" applyFont="1" applyFill="1" applyBorder="1" applyAlignment="1">
      <alignment horizontal="left" readingOrder="1"/>
    </xf>
    <xf numFmtId="0" fontId="19" fillId="16" borderId="132" xfId="0" applyFont="1" applyFill="1" applyBorder="1" applyAlignment="1">
      <alignment horizontal="left" readingOrder="1"/>
    </xf>
    <xf numFmtId="0" fontId="19" fillId="16" borderId="133" xfId="0" applyFont="1" applyFill="1" applyBorder="1"/>
    <xf numFmtId="0" fontId="17" fillId="3" borderId="131" xfId="0" applyFont="1" applyFill="1" applyBorder="1" applyAlignment="1">
      <alignment readingOrder="1"/>
    </xf>
    <xf numFmtId="0" fontId="17" fillId="3" borderId="132" xfId="0" applyFont="1" applyFill="1" applyBorder="1" applyAlignment="1">
      <alignment readingOrder="1"/>
    </xf>
    <xf numFmtId="0" fontId="17" fillId="16" borderId="132" xfId="0" applyFont="1" applyFill="1" applyBorder="1" applyAlignment="1">
      <alignment horizontal="left" readingOrder="1"/>
    </xf>
    <xf numFmtId="0" fontId="17" fillId="22" borderId="131" xfId="0" applyFont="1" applyFill="1" applyBorder="1" applyAlignment="1">
      <alignment horizontal="left" readingOrder="1"/>
    </xf>
    <xf numFmtId="0" fontId="17" fillId="22" borderId="132" xfId="0" applyFont="1" applyFill="1" applyBorder="1" applyAlignment="1">
      <alignment horizontal="left" readingOrder="1"/>
    </xf>
    <xf numFmtId="0" fontId="9" fillId="22" borderId="132" xfId="0" applyFont="1" applyFill="1" applyBorder="1" applyAlignment="1">
      <alignment horizontal="left" readingOrder="1"/>
    </xf>
    <xf numFmtId="0" fontId="19" fillId="22" borderId="132" xfId="0" applyFont="1" applyFill="1" applyBorder="1" applyAlignment="1">
      <alignment horizontal="left" readingOrder="1"/>
    </xf>
    <xf numFmtId="0" fontId="19" fillId="22" borderId="133" xfId="0" applyFont="1" applyFill="1" applyBorder="1"/>
    <xf numFmtId="166" fontId="19" fillId="3" borderId="144" xfId="0" applyNumberFormat="1" applyFont="1" applyFill="1" applyBorder="1" applyAlignment="1">
      <alignment horizontal="left" readingOrder="1"/>
    </xf>
    <xf numFmtId="0" fontId="19" fillId="3" borderId="145" xfId="0" applyFont="1" applyFill="1" applyBorder="1" applyAlignment="1">
      <alignment horizontal="left" readingOrder="1"/>
    </xf>
    <xf numFmtId="0" fontId="19" fillId="3" borderId="146" xfId="0" applyFont="1" applyFill="1" applyBorder="1"/>
    <xf numFmtId="166" fontId="19" fillId="3" borderId="147" xfId="0" applyNumberFormat="1" applyFont="1" applyFill="1" applyBorder="1" applyAlignment="1">
      <alignment horizontal="left" readingOrder="1"/>
    </xf>
    <xf numFmtId="0" fontId="19" fillId="3" borderId="90" xfId="0" applyFont="1" applyFill="1" applyBorder="1" applyAlignment="1">
      <alignment horizontal="left" readingOrder="1"/>
    </xf>
    <xf numFmtId="0" fontId="19" fillId="3" borderId="148" xfId="0" applyFont="1" applyFill="1" applyBorder="1"/>
    <xf numFmtId="1" fontId="19" fillId="3" borderId="149" xfId="0" applyNumberFormat="1" applyFont="1" applyFill="1" applyBorder="1" applyAlignment="1">
      <alignment horizontal="left" readingOrder="1"/>
    </xf>
    <xf numFmtId="0" fontId="20" fillId="3" borderId="80" xfId="0" applyFont="1" applyFill="1" applyBorder="1" applyAlignment="1">
      <alignment horizontal="left" readingOrder="1"/>
    </xf>
    <xf numFmtId="0" fontId="19" fillId="3" borderId="80" xfId="0" applyFont="1" applyFill="1" applyBorder="1" applyAlignment="1">
      <alignment horizontal="left" readingOrder="1"/>
    </xf>
    <xf numFmtId="0" fontId="19" fillId="3" borderId="150" xfId="0" applyFont="1" applyFill="1" applyBorder="1"/>
    <xf numFmtId="166" fontId="19" fillId="4" borderId="147" xfId="0" applyNumberFormat="1" applyFont="1" applyFill="1" applyBorder="1" applyAlignment="1">
      <alignment horizontal="left" readingOrder="1"/>
    </xf>
    <xf numFmtId="0" fontId="19" fillId="4" borderId="90" xfId="0" applyFont="1" applyFill="1" applyBorder="1" applyAlignment="1">
      <alignment horizontal="left" readingOrder="1"/>
    </xf>
    <xf numFmtId="0" fontId="19" fillId="4" borderId="148" xfId="0" applyFont="1" applyFill="1" applyBorder="1"/>
    <xf numFmtId="0" fontId="21" fillId="10" borderId="72" xfId="0" applyFont="1" applyFill="1" applyBorder="1" applyAlignment="1">
      <alignment horizontal="left"/>
    </xf>
    <xf numFmtId="0" fontId="21" fillId="10" borderId="72" xfId="0" applyFont="1" applyFill="1" applyBorder="1" applyAlignment="1">
      <alignment horizontal="left" indent="1"/>
    </xf>
    <xf numFmtId="0" fontId="21" fillId="10" borderId="84" xfId="0" applyFont="1" applyFill="1" applyBorder="1" applyAlignment="1">
      <alignment horizontal="left"/>
    </xf>
    <xf numFmtId="164" fontId="6" fillId="0" borderId="90" xfId="0" applyNumberFormat="1" applyFont="1" applyBorder="1" applyAlignment="1">
      <alignment vertical="top"/>
    </xf>
    <xf numFmtId="14" fontId="31" fillId="0" borderId="44" xfId="0" applyNumberFormat="1" applyFont="1" applyBorder="1" applyAlignment="1">
      <alignment horizontal="center"/>
    </xf>
    <xf numFmtId="0" fontId="9" fillId="17" borderId="68" xfId="0" applyFont="1" applyFill="1" applyBorder="1"/>
    <xf numFmtId="0" fontId="9" fillId="17" borderId="71" xfId="0" applyFont="1" applyFill="1" applyBorder="1"/>
    <xf numFmtId="0" fontId="9" fillId="18" borderId="82" xfId="0" applyFont="1" applyFill="1" applyBorder="1"/>
    <xf numFmtId="0" fontId="2" fillId="19" borderId="84" xfId="0" applyFont="1" applyFill="1" applyBorder="1"/>
    <xf numFmtId="0" fontId="8" fillId="18" borderId="119" xfId="0" applyFont="1" applyFill="1" applyBorder="1" applyAlignment="1">
      <alignment horizontal="center"/>
    </xf>
    <xf numFmtId="0" fontId="8" fillId="18" borderId="93" xfId="0" applyFont="1" applyFill="1" applyBorder="1" applyAlignment="1">
      <alignment horizontal="center"/>
    </xf>
    <xf numFmtId="0" fontId="8" fillId="18" borderId="97" xfId="0" applyFont="1" applyFill="1" applyBorder="1" applyAlignment="1">
      <alignment horizontal="center"/>
    </xf>
    <xf numFmtId="0" fontId="8" fillId="18" borderId="44" xfId="0" applyFont="1" applyFill="1" applyBorder="1" applyAlignment="1">
      <alignment horizontal="center"/>
    </xf>
    <xf numFmtId="0" fontId="8" fillId="18" borderId="114" xfId="0" applyFont="1" applyFill="1" applyBorder="1" applyAlignment="1">
      <alignment horizontal="center"/>
    </xf>
    <xf numFmtId="0" fontId="8" fillId="18" borderId="90" xfId="0" applyFont="1" applyFill="1" applyBorder="1" applyAlignment="1">
      <alignment horizontal="center"/>
    </xf>
    <xf numFmtId="0" fontId="8" fillId="18" borderId="29" xfId="0" applyFont="1" applyFill="1" applyBorder="1" applyAlignment="1">
      <alignment horizontal="center"/>
    </xf>
    <xf numFmtId="2" fontId="16" fillId="8" borderId="115" xfId="0" applyNumberFormat="1" applyFont="1" applyFill="1" applyBorder="1" applyAlignment="1">
      <alignment horizontal="right"/>
    </xf>
    <xf numFmtId="8" fontId="16" fillId="8" borderId="96" xfId="0" applyNumberFormat="1" applyFont="1" applyFill="1" applyBorder="1" applyAlignment="1">
      <alignment horizontal="center"/>
    </xf>
    <xf numFmtId="165" fontId="16" fillId="8" borderId="96" xfId="0" applyNumberFormat="1" applyFont="1" applyFill="1" applyBorder="1" applyAlignment="1">
      <alignment horizontal="right"/>
    </xf>
    <xf numFmtId="8" fontId="31" fillId="0" borderId="103" xfId="0" applyNumberFormat="1" applyFont="1" applyBorder="1" applyAlignment="1">
      <alignment horizontal="right"/>
    </xf>
    <xf numFmtId="2" fontId="6" fillId="8" borderId="115" xfId="0" applyNumberFormat="1" applyFont="1" applyFill="1" applyBorder="1" applyAlignment="1">
      <alignment horizontal="center"/>
    </xf>
    <xf numFmtId="8" fontId="6" fillId="8" borderId="104" xfId="0" applyNumberFormat="1" applyFont="1" applyFill="1" applyBorder="1" applyAlignment="1">
      <alignment horizontal="right"/>
    </xf>
    <xf numFmtId="8" fontId="31" fillId="0" borderId="99" xfId="0" applyNumberFormat="1" applyFont="1" applyBorder="1" applyAlignment="1">
      <alignment horizontal="right"/>
    </xf>
    <xf numFmtId="1" fontId="16" fillId="8" borderId="115" xfId="0" applyNumberFormat="1" applyFont="1" applyFill="1" applyBorder="1" applyAlignment="1">
      <alignment horizontal="right"/>
    </xf>
    <xf numFmtId="166" fontId="6" fillId="8" borderId="115" xfId="0" applyNumberFormat="1" applyFont="1" applyFill="1" applyBorder="1" applyAlignment="1">
      <alignment horizontal="right"/>
    </xf>
    <xf numFmtId="165" fontId="6" fillId="8" borderId="96" xfId="0" applyNumberFormat="1" applyFont="1" applyFill="1" applyBorder="1" applyAlignment="1">
      <alignment horizontal="right"/>
    </xf>
    <xf numFmtId="0" fontId="13" fillId="18" borderId="116" xfId="0" applyFont="1" applyFill="1" applyBorder="1"/>
    <xf numFmtId="0" fontId="13" fillId="18" borderId="117" xfId="0" applyFont="1" applyFill="1" applyBorder="1"/>
    <xf numFmtId="0" fontId="8" fillId="18" borderId="117" xfId="0" applyFont="1" applyFill="1" applyBorder="1" applyAlignment="1">
      <alignment horizontal="right"/>
    </xf>
    <xf numFmtId="8" fontId="32" fillId="18" borderId="123" xfId="0" applyNumberFormat="1" applyFont="1" applyFill="1" applyBorder="1"/>
    <xf numFmtId="8" fontId="8" fillId="18" borderId="116" xfId="0" applyNumberFormat="1" applyFont="1" applyFill="1" applyBorder="1"/>
    <xf numFmtId="0" fontId="13" fillId="18" borderId="45" xfId="0" applyFont="1" applyFill="1" applyBorder="1"/>
    <xf numFmtId="0" fontId="13" fillId="18" borderId="80" xfId="0" applyFont="1" applyFill="1" applyBorder="1"/>
    <xf numFmtId="0" fontId="8" fillId="18" borderId="80" xfId="0" applyFont="1" applyFill="1" applyBorder="1" applyAlignment="1">
      <alignment horizontal="right"/>
    </xf>
    <xf numFmtId="8" fontId="23" fillId="18" borderId="80" xfId="0" applyNumberFormat="1" applyFont="1" applyFill="1" applyBorder="1"/>
    <xf numFmtId="8" fontId="8" fillId="18" borderId="80" xfId="0" applyNumberFormat="1" applyFont="1" applyFill="1" applyBorder="1"/>
    <xf numFmtId="8" fontId="34" fillId="18" borderId="46" xfId="0" applyNumberFormat="1" applyFont="1" applyFill="1" applyBorder="1"/>
    <xf numFmtId="0" fontId="8" fillId="18" borderId="125" xfId="0" applyFont="1" applyFill="1" applyBorder="1" applyAlignment="1">
      <alignment horizontal="center"/>
    </xf>
    <xf numFmtId="0" fontId="8" fillId="18" borderId="23" xfId="0" applyFont="1" applyFill="1" applyBorder="1" applyAlignment="1">
      <alignment horizontal="center"/>
    </xf>
    <xf numFmtId="0" fontId="8" fillId="18" borderId="77" xfId="0" applyFont="1" applyFill="1" applyBorder="1" applyAlignment="1">
      <alignment horizontal="center"/>
    </xf>
    <xf numFmtId="0" fontId="8" fillId="18" borderId="124" xfId="0" applyFont="1" applyFill="1" applyBorder="1" applyAlignment="1">
      <alignment horizontal="center"/>
    </xf>
    <xf numFmtId="2" fontId="16" fillId="13" borderId="112" xfId="0" applyNumberFormat="1" applyFont="1" applyFill="1" applyBorder="1" applyAlignment="1">
      <alignment horizontal="center"/>
    </xf>
    <xf numFmtId="8" fontId="16" fillId="13" borderId="24" xfId="0" applyNumberFormat="1" applyFont="1" applyFill="1" applyBorder="1" applyAlignment="1">
      <alignment horizontal="center"/>
    </xf>
    <xf numFmtId="165" fontId="16" fillId="13" borderId="24" xfId="0" applyNumberFormat="1" applyFont="1" applyFill="1" applyBorder="1" applyAlignment="1">
      <alignment horizontal="right"/>
    </xf>
    <xf numFmtId="2" fontId="6" fillId="13" borderId="112" xfId="0" applyNumberFormat="1" applyFont="1" applyFill="1" applyBorder="1" applyAlignment="1">
      <alignment horizontal="center"/>
    </xf>
    <xf numFmtId="8" fontId="6" fillId="13" borderId="24" xfId="0" applyNumberFormat="1" applyFont="1" applyFill="1" applyBorder="1" applyAlignment="1">
      <alignment horizontal="right"/>
    </xf>
    <xf numFmtId="8" fontId="31" fillId="4" borderId="81" xfId="0" applyNumberFormat="1" applyFont="1" applyFill="1" applyBorder="1" applyAlignment="1">
      <alignment horizontal="right"/>
    </xf>
    <xf numFmtId="1" fontId="16" fillId="13" borderId="112" xfId="0" applyNumberFormat="1" applyFont="1" applyFill="1" applyBorder="1" applyAlignment="1">
      <alignment horizontal="center"/>
    </xf>
    <xf numFmtId="166" fontId="6" fillId="13" borderId="112" xfId="0" applyNumberFormat="1" applyFont="1" applyFill="1" applyBorder="1" applyAlignment="1">
      <alignment horizontal="right"/>
    </xf>
    <xf numFmtId="1" fontId="16" fillId="13" borderId="125" xfId="0" applyNumberFormat="1" applyFont="1" applyFill="1" applyBorder="1" applyAlignment="1">
      <alignment horizontal="center"/>
    </xf>
    <xf numFmtId="8" fontId="16" fillId="13" borderId="23" xfId="0" applyNumberFormat="1" applyFont="1" applyFill="1" applyBorder="1" applyAlignment="1">
      <alignment horizontal="center"/>
    </xf>
    <xf numFmtId="165" fontId="6" fillId="13" borderId="23" xfId="0" applyNumberFormat="1" applyFont="1" applyFill="1" applyBorder="1" applyAlignment="1">
      <alignment horizontal="right"/>
    </xf>
    <xf numFmtId="8" fontId="31" fillId="4" borderId="77" xfId="0" applyNumberFormat="1" applyFont="1" applyFill="1" applyBorder="1" applyAlignment="1">
      <alignment horizontal="right"/>
    </xf>
    <xf numFmtId="166" fontId="6" fillId="13" borderId="125" xfId="0" applyNumberFormat="1" applyFont="1" applyFill="1" applyBorder="1" applyAlignment="1">
      <alignment horizontal="right"/>
    </xf>
    <xf numFmtId="8" fontId="6" fillId="13" borderId="23" xfId="0" applyNumberFormat="1" applyFont="1" applyFill="1" applyBorder="1" applyAlignment="1">
      <alignment horizontal="right"/>
    </xf>
    <xf numFmtId="8" fontId="31" fillId="4" borderId="124" xfId="0" applyNumberFormat="1" applyFont="1" applyFill="1" applyBorder="1" applyAlignment="1">
      <alignment horizontal="right"/>
    </xf>
    <xf numFmtId="8" fontId="32" fillId="18" borderId="46" xfId="0" applyNumberFormat="1" applyFont="1" applyFill="1" applyBorder="1"/>
    <xf numFmtId="8" fontId="8" fillId="18" borderId="45" xfId="0" applyNumberFormat="1" applyFont="1" applyFill="1" applyBorder="1"/>
    <xf numFmtId="0" fontId="11" fillId="0" borderId="0" xfId="0" applyFont="1" applyAlignment="1">
      <alignment wrapText="1"/>
    </xf>
    <xf numFmtId="0" fontId="0" fillId="14" borderId="0" xfId="0" applyFill="1" applyAlignment="1">
      <alignment wrapText="1"/>
    </xf>
    <xf numFmtId="0" fontId="33" fillId="15" borderId="96" xfId="0" applyFont="1" applyFill="1" applyBorder="1" applyAlignment="1">
      <alignment horizontal="center" vertical="center" wrapText="1"/>
    </xf>
    <xf numFmtId="0" fontId="0" fillId="0" borderId="105" xfId="0" applyBorder="1" applyAlignment="1">
      <alignment vertical="top" wrapText="1"/>
    </xf>
    <xf numFmtId="0" fontId="0" fillId="0" borderId="104" xfId="0" applyBorder="1" applyAlignment="1">
      <alignment horizontal="left" vertical="top" wrapText="1" indent="1"/>
    </xf>
    <xf numFmtId="0" fontId="0" fillId="0" borderId="106" xfId="0" applyBorder="1" applyAlignment="1">
      <alignment vertical="top" wrapText="1"/>
    </xf>
    <xf numFmtId="0" fontId="0" fillId="0" borderId="107" xfId="0" applyBorder="1" applyAlignment="1">
      <alignment horizontal="left" vertical="top" wrapText="1" indent="1"/>
    </xf>
    <xf numFmtId="0" fontId="11" fillId="0" borderId="0" xfId="0" applyFont="1"/>
    <xf numFmtId="0" fontId="12" fillId="0" borderId="54" xfId="0" applyFont="1" applyBorder="1" applyAlignment="1">
      <alignment horizontal="right" vertical="center"/>
    </xf>
    <xf numFmtId="0" fontId="13" fillId="0" borderId="0" xfId="0" applyFont="1" applyAlignment="1">
      <alignment vertical="center"/>
    </xf>
    <xf numFmtId="0" fontId="13" fillId="0" borderId="55" xfId="0" applyFont="1" applyBorder="1" applyAlignment="1">
      <alignment vertical="center"/>
    </xf>
    <xf numFmtId="0" fontId="12" fillId="0" borderId="136" xfId="0" applyFont="1" applyBorder="1" applyAlignment="1">
      <alignment horizontal="right" vertical="center"/>
    </xf>
    <xf numFmtId="0" fontId="12" fillId="0" borderId="137" xfId="0" applyFont="1" applyBorder="1" applyAlignment="1">
      <alignment horizontal="right" vertical="center"/>
    </xf>
    <xf numFmtId="0" fontId="12" fillId="0" borderId="138" xfId="0" applyFont="1" applyBorder="1" applyAlignment="1">
      <alignment horizontal="right" vertical="center"/>
    </xf>
    <xf numFmtId="0" fontId="9" fillId="0" borderId="138" xfId="0" applyFont="1" applyBorder="1" applyAlignment="1">
      <alignment horizontal="right"/>
    </xf>
    <xf numFmtId="0" fontId="14" fillId="0" borderId="58" xfId="0" applyFont="1" applyBorder="1"/>
    <xf numFmtId="0" fontId="9" fillId="0" borderId="57" xfId="0" applyFont="1" applyBorder="1"/>
    <xf numFmtId="44" fontId="6" fillId="0" borderId="59" xfId="0" applyNumberFormat="1" applyFont="1" applyBorder="1" applyAlignment="1">
      <alignment horizontal="left" vertical="center"/>
    </xf>
    <xf numFmtId="0" fontId="12" fillId="0" borderId="143" xfId="0" applyFont="1" applyBorder="1" applyAlignment="1">
      <alignment horizontal="right" vertical="center"/>
    </xf>
    <xf numFmtId="10" fontId="16" fillId="0" borderId="58" xfId="0" applyNumberFormat="1" applyFont="1" applyBorder="1" applyAlignment="1">
      <alignment horizontal="center" vertical="center"/>
    </xf>
    <xf numFmtId="165" fontId="16" fillId="0" borderId="55" xfId="0" applyNumberFormat="1" applyFont="1" applyBorder="1" applyAlignment="1">
      <alignment horizontal="center" vertical="center"/>
    </xf>
    <xf numFmtId="0" fontId="12" fillId="0" borderId="138" xfId="0" applyFont="1" applyBorder="1" applyAlignment="1">
      <alignment horizontal="right" vertical="center" wrapText="1"/>
    </xf>
    <xf numFmtId="0" fontId="12" fillId="0" borderId="139" xfId="0" applyFont="1" applyBorder="1" applyAlignment="1">
      <alignment horizontal="right" vertical="center" wrapText="1"/>
    </xf>
    <xf numFmtId="0" fontId="12" fillId="0" borderId="140" xfId="0" applyFont="1" applyBorder="1" applyAlignment="1">
      <alignment horizontal="right" vertical="center"/>
    </xf>
    <xf numFmtId="0" fontId="12" fillId="0" borderId="141" xfId="0" applyFont="1" applyBorder="1" applyAlignment="1">
      <alignment horizontal="right" vertical="center"/>
    </xf>
    <xf numFmtId="0" fontId="12" fillId="0" borderId="142" xfId="0" applyFont="1" applyBorder="1" applyAlignment="1">
      <alignment horizontal="right" vertical="center"/>
    </xf>
    <xf numFmtId="0" fontId="12" fillId="0" borderId="61" xfId="0" applyFont="1" applyBorder="1" applyAlignment="1">
      <alignment horizontal="right" wrapText="1"/>
    </xf>
    <xf numFmtId="10" fontId="16" fillId="0" borderId="0" xfId="0" applyNumberFormat="1" applyFont="1" applyAlignment="1">
      <alignment horizontal="center" vertical="center"/>
    </xf>
    <xf numFmtId="0" fontId="12" fillId="0" borderId="108" xfId="0" applyFont="1" applyBorder="1" applyAlignment="1">
      <alignment horizontal="right" vertical="center"/>
    </xf>
    <xf numFmtId="44" fontId="29" fillId="8" borderId="58" xfId="0" applyNumberFormat="1" applyFont="1" applyFill="1" applyBorder="1" applyAlignment="1" applyProtection="1">
      <alignment horizontal="left" vertical="center"/>
      <protection locked="0"/>
    </xf>
    <xf numFmtId="44" fontId="27" fillId="8" borderId="60" xfId="1" applyNumberFormat="1" applyFont="1" applyFill="1" applyBorder="1" applyAlignment="1" applyProtection="1">
      <alignment horizontal="right" vertical="center" indent="1"/>
      <protection locked="0"/>
    </xf>
    <xf numFmtId="44" fontId="27" fillId="8" borderId="60" xfId="0" applyNumberFormat="1" applyFont="1" applyFill="1" applyBorder="1" applyAlignment="1" applyProtection="1">
      <alignment horizontal="right" vertical="center" indent="1"/>
      <protection locked="0"/>
    </xf>
    <xf numFmtId="44" fontId="27" fillId="8" borderId="62" xfId="0" applyNumberFormat="1" applyFont="1" applyFill="1" applyBorder="1" applyAlignment="1" applyProtection="1">
      <alignment horizontal="right" vertical="center"/>
      <protection locked="0"/>
    </xf>
    <xf numFmtId="44" fontId="27" fillId="13" borderId="109" xfId="0" applyNumberFormat="1" applyFont="1" applyFill="1" applyBorder="1" applyAlignment="1" applyProtection="1">
      <alignment vertical="center"/>
      <protection locked="0"/>
    </xf>
    <xf numFmtId="0" fontId="0" fillId="0" borderId="0" xfId="0" applyProtection="1">
      <protection locked="0"/>
    </xf>
    <xf numFmtId="0" fontId="0" fillId="0" borderId="0" xfId="0" applyAlignment="1" applyProtection="1">
      <alignment vertical="center"/>
      <protection locked="0"/>
    </xf>
    <xf numFmtId="0" fontId="16" fillId="0" borderId="0" xfId="0" applyFont="1" applyProtection="1">
      <protection locked="0"/>
    </xf>
    <xf numFmtId="0" fontId="13" fillId="0" borderId="0" xfId="0" applyFont="1" applyProtection="1">
      <protection locked="0"/>
    </xf>
    <xf numFmtId="0" fontId="25" fillId="0" borderId="0" xfId="0" applyFont="1" applyProtection="1">
      <protection locked="0"/>
    </xf>
    <xf numFmtId="2" fontId="9" fillId="0" borderId="0" xfId="0" applyNumberFormat="1" applyFont="1" applyProtection="1">
      <protection locked="0"/>
    </xf>
    <xf numFmtId="0" fontId="21" fillId="10" borderId="72" xfId="0" applyFont="1" applyFill="1" applyBorder="1" applyAlignment="1">
      <alignment horizontal="left" vertical="top"/>
    </xf>
    <xf numFmtId="0" fontId="21" fillId="10" borderId="72" xfId="0" applyFont="1" applyFill="1" applyBorder="1" applyAlignment="1">
      <alignment horizontal="left" vertical="top" indent="1"/>
    </xf>
    <xf numFmtId="8" fontId="31" fillId="0" borderId="22" xfId="0" applyNumberFormat="1" applyFont="1" applyBorder="1" applyAlignment="1">
      <alignment horizontal="right"/>
    </xf>
    <xf numFmtId="8" fontId="31" fillId="0" borderId="83" xfId="0" applyNumberFormat="1" applyFont="1" applyBorder="1" applyAlignment="1">
      <alignment horizontal="right"/>
    </xf>
    <xf numFmtId="8" fontId="31" fillId="3" borderId="22" xfId="0" applyNumberFormat="1" applyFont="1" applyFill="1" applyBorder="1" applyAlignment="1">
      <alignment horizontal="right"/>
    </xf>
    <xf numFmtId="8" fontId="31" fillId="0" borderId="113" xfId="0" applyNumberFormat="1" applyFont="1" applyBorder="1" applyAlignment="1">
      <alignment horizontal="right"/>
    </xf>
    <xf numFmtId="8" fontId="31" fillId="4" borderId="38" xfId="0" applyNumberFormat="1" applyFont="1" applyFill="1" applyBorder="1" applyAlignment="1">
      <alignment horizontal="right"/>
    </xf>
    <xf numFmtId="8" fontId="31" fillId="4" borderId="26" xfId="0" applyNumberFormat="1" applyFont="1" applyFill="1" applyBorder="1" applyAlignment="1">
      <alignment horizontal="right"/>
    </xf>
    <xf numFmtId="44" fontId="32" fillId="20" borderId="76" xfId="0" applyNumberFormat="1" applyFont="1" applyFill="1" applyBorder="1"/>
    <xf numFmtId="44" fontId="34" fillId="20" borderId="71" xfId="0" applyNumberFormat="1" applyFont="1" applyFill="1" applyBorder="1"/>
    <xf numFmtId="0" fontId="21" fillId="10" borderId="66" xfId="0" applyFont="1" applyFill="1" applyBorder="1" applyAlignment="1">
      <alignment horizontal="left" vertical="top"/>
    </xf>
    <xf numFmtId="0" fontId="21" fillId="10" borderId="66" xfId="0" applyFont="1" applyFill="1" applyBorder="1" applyAlignment="1">
      <alignment horizontal="left" vertical="top" indent="1"/>
    </xf>
    <xf numFmtId="0" fontId="21" fillId="10" borderId="75" xfId="0" applyFont="1" applyFill="1" applyBorder="1" applyAlignment="1">
      <alignment horizontal="left"/>
    </xf>
    <xf numFmtId="0" fontId="2" fillId="3" borderId="129" xfId="0" applyFont="1" applyFill="1" applyBorder="1" applyAlignment="1">
      <alignment horizontal="left" vertical="center" readingOrder="1"/>
    </xf>
    <xf numFmtId="0" fontId="2" fillId="3" borderId="90" xfId="0" applyFont="1" applyFill="1" applyBorder="1" applyAlignment="1">
      <alignment horizontal="left" readingOrder="1"/>
    </xf>
    <xf numFmtId="166" fontId="2" fillId="3" borderId="147" xfId="0" applyNumberFormat="1" applyFont="1" applyFill="1" applyBorder="1" applyAlignment="1">
      <alignment horizontal="left" readingOrder="1"/>
    </xf>
    <xf numFmtId="1" fontId="2" fillId="3" borderId="147" xfId="0" quotePrefix="1" applyNumberFormat="1" applyFont="1" applyFill="1" applyBorder="1" applyAlignment="1">
      <alignment horizontal="left" readingOrder="1"/>
    </xf>
    <xf numFmtId="166" fontId="2" fillId="3" borderId="147" xfId="0" quotePrefix="1" applyNumberFormat="1" applyFont="1" applyFill="1" applyBorder="1" applyAlignment="1">
      <alignment horizontal="left" readingOrder="1"/>
    </xf>
    <xf numFmtId="1" fontId="2" fillId="4" borderId="147" xfId="0" quotePrefix="1" applyNumberFormat="1" applyFont="1" applyFill="1" applyBorder="1" applyAlignment="1">
      <alignment horizontal="left" readingOrder="1"/>
    </xf>
    <xf numFmtId="0" fontId="39" fillId="0" borderId="0" xfId="0" applyFont="1"/>
    <xf numFmtId="8" fontId="31" fillId="0" borderId="22" xfId="0" applyNumberFormat="1" applyFont="1" applyBorder="1" applyAlignment="1" applyProtection="1">
      <alignment horizontal="right"/>
      <protection locked="0"/>
    </xf>
    <xf numFmtId="8" fontId="31" fillId="0" borderId="83" xfId="0" applyNumberFormat="1" applyFont="1" applyBorder="1" applyAlignment="1" applyProtection="1">
      <alignment horizontal="right"/>
      <protection locked="0"/>
    </xf>
    <xf numFmtId="8" fontId="31" fillId="0" borderId="103" xfId="0" applyNumberFormat="1" applyFont="1" applyBorder="1" applyAlignment="1" applyProtection="1">
      <alignment horizontal="right"/>
      <protection locked="0"/>
    </xf>
    <xf numFmtId="8" fontId="31" fillId="3" borderId="22" xfId="0" applyNumberFormat="1" applyFont="1" applyFill="1" applyBorder="1" applyAlignment="1" applyProtection="1">
      <alignment horizontal="right"/>
      <protection locked="0"/>
    </xf>
    <xf numFmtId="8" fontId="31" fillId="4" borderId="22" xfId="0" applyNumberFormat="1" applyFont="1" applyFill="1" applyBorder="1" applyAlignment="1" applyProtection="1">
      <alignment horizontal="right"/>
      <protection locked="0"/>
    </xf>
    <xf numFmtId="8" fontId="31" fillId="4" borderId="38" xfId="0" applyNumberFormat="1" applyFont="1" applyFill="1" applyBorder="1" applyAlignment="1" applyProtection="1">
      <alignment horizontal="right"/>
      <protection locked="0"/>
    </xf>
    <xf numFmtId="8" fontId="31" fillId="4" borderId="81" xfId="0" applyNumberFormat="1" applyFont="1" applyFill="1" applyBorder="1" applyAlignment="1" applyProtection="1">
      <alignment horizontal="right"/>
      <protection locked="0"/>
    </xf>
    <xf numFmtId="8" fontId="31" fillId="4" borderId="44" xfId="0" applyNumberFormat="1" applyFont="1" applyFill="1" applyBorder="1" applyAlignment="1" applyProtection="1">
      <alignment horizontal="right"/>
      <protection locked="0"/>
    </xf>
    <xf numFmtId="8" fontId="31" fillId="4" borderId="26" xfId="0" applyNumberFormat="1" applyFont="1" applyFill="1" applyBorder="1" applyAlignment="1" applyProtection="1">
      <alignment horizontal="right"/>
      <protection locked="0"/>
    </xf>
    <xf numFmtId="0" fontId="3" fillId="0" borderId="151" xfId="0" applyFont="1" applyBorder="1" applyAlignment="1">
      <alignment horizontal="right"/>
    </xf>
    <xf numFmtId="2" fontId="16" fillId="23" borderId="112" xfId="2" applyNumberFormat="1" applyFont="1" applyFill="1" applyBorder="1" applyAlignment="1" applyProtection="1">
      <alignment horizontal="right"/>
      <protection locked="0"/>
    </xf>
    <xf numFmtId="49" fontId="16" fillId="23" borderId="24" xfId="0" applyNumberFormat="1" applyFont="1" applyFill="1" applyBorder="1" applyAlignment="1" applyProtection="1">
      <alignment horizontal="center"/>
      <protection locked="0"/>
    </xf>
    <xf numFmtId="165" fontId="16" fillId="23" borderId="24" xfId="0" applyNumberFormat="1" applyFont="1" applyFill="1" applyBorder="1" applyAlignment="1" applyProtection="1">
      <alignment horizontal="right"/>
      <protection locked="0"/>
    </xf>
    <xf numFmtId="8" fontId="16" fillId="23" borderId="91" xfId="0" applyNumberFormat="1" applyFont="1" applyFill="1" applyBorder="1" applyAlignment="1" applyProtection="1">
      <alignment horizontal="right"/>
      <protection locked="0"/>
    </xf>
    <xf numFmtId="2" fontId="16" fillId="23" borderId="94" xfId="2" applyNumberFormat="1" applyFont="1" applyFill="1" applyBorder="1" applyAlignment="1" applyProtection="1">
      <alignment horizontal="right"/>
      <protection locked="0"/>
    </xf>
    <xf numFmtId="8" fontId="16" fillId="23" borderId="96" xfId="0" applyNumberFormat="1" applyFont="1" applyFill="1" applyBorder="1" applyAlignment="1" applyProtection="1">
      <alignment horizontal="right"/>
      <protection locked="0"/>
    </xf>
    <xf numFmtId="166" fontId="19" fillId="24" borderId="147" xfId="0" applyNumberFormat="1" applyFont="1" applyFill="1" applyBorder="1" applyAlignment="1">
      <alignment horizontal="left" readingOrder="1"/>
    </xf>
    <xf numFmtId="0" fontId="19" fillId="24" borderId="90" xfId="0" applyFont="1" applyFill="1" applyBorder="1" applyAlignment="1">
      <alignment horizontal="left" readingOrder="1"/>
    </xf>
    <xf numFmtId="0" fontId="19" fillId="24" borderId="148" xfId="0" applyFont="1" applyFill="1" applyBorder="1"/>
    <xf numFmtId="1" fontId="2" fillId="24" borderId="147" xfId="0" quotePrefix="1" applyNumberFormat="1" applyFont="1" applyFill="1" applyBorder="1" applyAlignment="1">
      <alignment horizontal="left" readingOrder="1"/>
    </xf>
    <xf numFmtId="166" fontId="37" fillId="24" borderId="147" xfId="0" applyNumberFormat="1" applyFont="1" applyFill="1" applyBorder="1" applyAlignment="1">
      <alignment horizontal="center" readingOrder="1"/>
    </xf>
    <xf numFmtId="0" fontId="38" fillId="23" borderId="90" xfId="0" applyFont="1" applyFill="1" applyBorder="1"/>
    <xf numFmtId="0" fontId="38" fillId="23" borderId="148" xfId="0" applyFont="1" applyFill="1" applyBorder="1"/>
    <xf numFmtId="44" fontId="3" fillId="4" borderId="81" xfId="0" applyNumberFormat="1" applyFont="1" applyFill="1" applyBorder="1"/>
    <xf numFmtId="44" fontId="3" fillId="4" borderId="152" xfId="0" applyNumberFormat="1" applyFont="1" applyFill="1" applyBorder="1"/>
    <xf numFmtId="0" fontId="8" fillId="26" borderId="47" xfId="0" applyFont="1" applyFill="1" applyBorder="1" applyAlignment="1">
      <alignment vertical="center" wrapText="1"/>
    </xf>
    <xf numFmtId="0" fontId="2" fillId="26" borderId="68" xfId="0" applyFont="1" applyFill="1" applyBorder="1" applyAlignment="1">
      <alignment vertical="center"/>
    </xf>
    <xf numFmtId="0" fontId="2" fillId="26" borderId="71" xfId="0" applyFont="1" applyFill="1" applyBorder="1" applyAlignment="1">
      <alignment vertical="center"/>
    </xf>
    <xf numFmtId="44" fontId="3" fillId="0" borderId="90" xfId="0" applyNumberFormat="1" applyFont="1" applyBorder="1"/>
    <xf numFmtId="7" fontId="1" fillId="0" borderId="90" xfId="0" applyNumberFormat="1" applyFont="1" applyBorder="1" applyAlignment="1">
      <alignment vertical="center"/>
    </xf>
    <xf numFmtId="44" fontId="1" fillId="0" borderId="90" xfId="0" applyNumberFormat="1" applyFont="1" applyBorder="1" applyAlignment="1">
      <alignment horizontal="right"/>
    </xf>
    <xf numFmtId="0" fontId="3" fillId="0" borderId="162" xfId="0" applyFont="1" applyBorder="1" applyAlignment="1">
      <alignment horizontal="left"/>
    </xf>
    <xf numFmtId="10" fontId="3" fillId="0" borderId="70" xfId="0" applyNumberFormat="1" applyFont="1" applyBorder="1" applyAlignment="1">
      <alignment horizontal="right"/>
    </xf>
    <xf numFmtId="0" fontId="3" fillId="0" borderId="163" xfId="0" applyFont="1" applyBorder="1"/>
    <xf numFmtId="10" fontId="3" fillId="0" borderId="163" xfId="0" applyNumberFormat="1" applyFont="1" applyBorder="1" applyAlignment="1">
      <alignment horizontal="right"/>
    </xf>
    <xf numFmtId="0" fontId="3" fillId="0" borderId="164" xfId="0" applyFont="1" applyBorder="1"/>
    <xf numFmtId="0" fontId="3" fillId="0" borderId="165" xfId="0" applyFont="1" applyBorder="1" applyAlignment="1">
      <alignment horizontal="center"/>
    </xf>
    <xf numFmtId="0" fontId="3" fillId="0" borderId="147" xfId="0" applyFont="1" applyBorder="1" applyAlignment="1">
      <alignment horizontal="left"/>
    </xf>
    <xf numFmtId="0" fontId="3" fillId="0" borderId="166" xfId="0" applyFont="1" applyBorder="1" applyAlignment="1">
      <alignment horizontal="right"/>
    </xf>
    <xf numFmtId="0" fontId="1" fillId="3" borderId="168" xfId="0" applyFont="1" applyFill="1" applyBorder="1" applyAlignment="1">
      <alignment horizontal="right"/>
    </xf>
    <xf numFmtId="44" fontId="3" fillId="23" borderId="146" xfId="0" applyNumberFormat="1" applyFont="1" applyFill="1" applyBorder="1" applyAlignment="1">
      <alignment horizontal="right"/>
    </xf>
    <xf numFmtId="0" fontId="2" fillId="24" borderId="90" xfId="0" applyFont="1" applyFill="1" applyBorder="1" applyAlignment="1">
      <alignment wrapText="1" readingOrder="1"/>
    </xf>
    <xf numFmtId="0" fontId="2" fillId="24" borderId="148" xfId="0" applyFont="1" applyFill="1" applyBorder="1" applyAlignment="1">
      <alignment wrapText="1" readingOrder="1"/>
    </xf>
    <xf numFmtId="44" fontId="29" fillId="0" borderId="58" xfId="0" applyNumberFormat="1" applyFont="1" applyBorder="1" applyAlignment="1">
      <alignment horizontal="left" vertical="center"/>
    </xf>
    <xf numFmtId="0" fontId="3" fillId="0" borderId="128" xfId="0" applyFont="1" applyBorder="1" applyAlignment="1">
      <alignment horizontal="left"/>
    </xf>
    <xf numFmtId="0" fontId="3" fillId="0" borderId="129" xfId="0" applyFont="1" applyBorder="1" applyAlignment="1">
      <alignment horizontal="right" vertical="top"/>
    </xf>
    <xf numFmtId="0" fontId="1" fillId="0" borderId="180" xfId="0" applyFont="1" applyBorder="1"/>
    <xf numFmtId="10" fontId="30" fillId="0" borderId="181" xfId="0" applyNumberFormat="1" applyFont="1" applyBorder="1" applyAlignment="1">
      <alignment horizontal="right"/>
    </xf>
    <xf numFmtId="0" fontId="3" fillId="0" borderId="144" xfId="0" applyFont="1" applyBorder="1" applyAlignment="1">
      <alignment horizontal="right" indent="1"/>
    </xf>
    <xf numFmtId="3" fontId="3" fillId="0" borderId="164" xfId="0" applyNumberFormat="1" applyFont="1" applyBorder="1" applyAlignment="1">
      <alignment horizontal="left"/>
    </xf>
    <xf numFmtId="0" fontId="1" fillId="3" borderId="182" xfId="0" applyFont="1" applyFill="1" applyBorder="1"/>
    <xf numFmtId="44" fontId="3" fillId="0" borderId="96" xfId="0" applyNumberFormat="1" applyFont="1" applyBorder="1" applyAlignment="1">
      <alignment horizontal="left"/>
    </xf>
    <xf numFmtId="44" fontId="3" fillId="0" borderId="96" xfId="0" applyNumberFormat="1" applyFont="1" applyBorder="1" applyAlignment="1">
      <alignment horizontal="left" vertical="top"/>
    </xf>
    <xf numFmtId="44" fontId="3" fillId="4" borderId="103" xfId="0" applyNumberFormat="1" applyFont="1" applyFill="1" applyBorder="1" applyAlignment="1">
      <alignment horizontal="left"/>
    </xf>
    <xf numFmtId="44" fontId="3" fillId="4" borderId="103" xfId="0" applyNumberFormat="1" applyFont="1" applyFill="1" applyBorder="1" applyAlignment="1">
      <alignment horizontal="left" vertical="top"/>
    </xf>
    <xf numFmtId="44" fontId="3" fillId="25" borderId="167" xfId="0" applyNumberFormat="1" applyFont="1" applyFill="1" applyBorder="1" applyAlignment="1">
      <alignment horizontal="right" vertical="center"/>
    </xf>
    <xf numFmtId="44" fontId="3" fillId="25" borderId="169" xfId="0" applyNumberFormat="1" applyFont="1" applyFill="1" applyBorder="1" applyAlignment="1">
      <alignment horizontal="right" vertical="center"/>
    </xf>
    <xf numFmtId="44" fontId="1" fillId="25" borderId="178" xfId="0" applyNumberFormat="1" applyFont="1" applyFill="1" applyBorder="1" applyAlignment="1">
      <alignment horizontal="right"/>
    </xf>
    <xf numFmtId="44" fontId="3" fillId="25" borderId="179" xfId="0" applyNumberFormat="1" applyFont="1" applyFill="1" applyBorder="1" applyAlignment="1">
      <alignment horizontal="right" vertical="center"/>
    </xf>
    <xf numFmtId="0" fontId="3" fillId="28" borderId="131" xfId="0" applyFont="1" applyFill="1" applyBorder="1" applyAlignment="1">
      <alignment horizontal="left"/>
    </xf>
    <xf numFmtId="0" fontId="1" fillId="28" borderId="132" xfId="0" applyFont="1" applyFill="1" applyBorder="1" applyAlignment="1">
      <alignment horizontal="left" vertical="center"/>
    </xf>
    <xf numFmtId="0" fontId="3" fillId="28" borderId="132" xfId="0" applyFont="1" applyFill="1" applyBorder="1"/>
    <xf numFmtId="0" fontId="3" fillId="28" borderId="133" xfId="0" applyFont="1" applyFill="1" applyBorder="1"/>
    <xf numFmtId="0" fontId="3" fillId="0" borderId="13" xfId="0" applyFont="1" applyBorder="1" applyAlignment="1">
      <alignment horizontal="right" vertical="top"/>
    </xf>
    <xf numFmtId="0" fontId="3" fillId="11" borderId="84" xfId="0" applyFont="1" applyFill="1" applyBorder="1" applyAlignment="1">
      <alignment horizontal="center" vertical="center" wrapText="1"/>
    </xf>
    <xf numFmtId="0" fontId="15" fillId="0" borderId="90" xfId="0" applyFont="1" applyBorder="1" applyAlignment="1">
      <alignment vertical="top" wrapText="1"/>
    </xf>
    <xf numFmtId="0" fontId="1" fillId="3" borderId="101" xfId="0" applyFont="1" applyFill="1" applyBorder="1" applyAlignment="1">
      <alignment horizontal="right"/>
    </xf>
    <xf numFmtId="0" fontId="3" fillId="0" borderId="92" xfId="0" applyFont="1" applyBorder="1" applyAlignment="1">
      <alignment horizontal="right"/>
    </xf>
    <xf numFmtId="0" fontId="3" fillId="0" borderId="27" xfId="0" applyFont="1" applyBorder="1" applyAlignment="1">
      <alignment horizontal="left"/>
    </xf>
    <xf numFmtId="0" fontId="2" fillId="0" borderId="28" xfId="0" applyFont="1" applyBorder="1"/>
    <xf numFmtId="0" fontId="3" fillId="0" borderId="42" xfId="0" applyFont="1" applyBorder="1" applyAlignment="1">
      <alignment vertical="top" wrapText="1"/>
    </xf>
    <xf numFmtId="0" fontId="2" fillId="0" borderId="42" xfId="0" applyFont="1" applyBorder="1"/>
    <xf numFmtId="0" fontId="2" fillId="0" borderId="43" xfId="0" applyFont="1" applyBorder="1"/>
    <xf numFmtId="0" fontId="3" fillId="0" borderId="0" xfId="0" applyFont="1" applyAlignment="1">
      <alignment vertical="top" wrapText="1"/>
    </xf>
    <xf numFmtId="0" fontId="0" fillId="0" borderId="0" xfId="0"/>
    <xf numFmtId="0" fontId="3" fillId="0" borderId="90" xfId="0" applyFont="1" applyBorder="1" applyAlignment="1">
      <alignment horizontal="left" vertical="top" wrapText="1"/>
    </xf>
    <xf numFmtId="0" fontId="3" fillId="0" borderId="44" xfId="0" applyFont="1" applyBorder="1" applyAlignment="1">
      <alignment horizontal="left" vertical="top" wrapText="1"/>
    </xf>
    <xf numFmtId="0" fontId="1" fillId="11" borderId="2" xfId="0" applyFont="1" applyFill="1" applyBorder="1" applyAlignment="1">
      <alignment horizontal="center" vertical="center" wrapText="1"/>
    </xf>
    <xf numFmtId="0" fontId="1" fillId="11" borderId="72" xfId="0" applyFont="1" applyFill="1" applyBorder="1" applyAlignment="1">
      <alignment horizontal="center" vertical="center" wrapText="1"/>
    </xf>
    <xf numFmtId="0" fontId="18" fillId="7" borderId="63" xfId="0" applyFont="1" applyFill="1" applyBorder="1" applyAlignment="1">
      <alignment horizontal="center" vertical="center"/>
    </xf>
    <xf numFmtId="0" fontId="2" fillId="0" borderId="64" xfId="0" applyFont="1" applyBorder="1" applyAlignment="1">
      <alignment vertical="center"/>
    </xf>
    <xf numFmtId="0" fontId="2" fillId="0" borderId="65" xfId="0" applyFont="1" applyBorder="1" applyAlignment="1">
      <alignment vertical="center"/>
    </xf>
    <xf numFmtId="166" fontId="37" fillId="4" borderId="147" xfId="0" applyNumberFormat="1" applyFont="1" applyFill="1" applyBorder="1" applyAlignment="1">
      <alignment horizontal="center" readingOrder="1"/>
    </xf>
    <xf numFmtId="0" fontId="38" fillId="0" borderId="90" xfId="0" applyFont="1" applyBorder="1"/>
    <xf numFmtId="0" fontId="38" fillId="0" borderId="148" xfId="0" applyFont="1" applyBorder="1"/>
    <xf numFmtId="0" fontId="2" fillId="4" borderId="90" xfId="0" applyFont="1" applyFill="1" applyBorder="1" applyAlignment="1">
      <alignment horizontal="left" wrapText="1" readingOrder="1"/>
    </xf>
    <xf numFmtId="0" fontId="2" fillId="0" borderId="90" xfId="0" applyFont="1" applyBorder="1"/>
    <xf numFmtId="0" fontId="2" fillId="0" borderId="148" xfId="0" applyFont="1" applyBorder="1"/>
    <xf numFmtId="0" fontId="2" fillId="0" borderId="132" xfId="0" applyFont="1" applyBorder="1" applyAlignment="1">
      <alignment horizontal="left" vertical="center" wrapText="1" readingOrder="1"/>
    </xf>
    <xf numFmtId="0" fontId="2" fillId="0" borderId="133" xfId="0" applyFont="1" applyBorder="1" applyAlignment="1">
      <alignment horizontal="left" vertical="center" wrapText="1" readingOrder="1"/>
    </xf>
    <xf numFmtId="0" fontId="2" fillId="3" borderId="132" xfId="0" applyFont="1" applyFill="1" applyBorder="1" applyAlignment="1">
      <alignment horizontal="left" vertical="center" wrapText="1" readingOrder="1"/>
    </xf>
    <xf numFmtId="0" fontId="2" fillId="3" borderId="133" xfId="0" applyFont="1" applyFill="1" applyBorder="1" applyAlignment="1">
      <alignment horizontal="left" vertical="center" wrapText="1" readingOrder="1"/>
    </xf>
    <xf numFmtId="166" fontId="17" fillId="4" borderId="144" xfId="0" applyNumberFormat="1" applyFont="1" applyFill="1" applyBorder="1" applyAlignment="1">
      <alignment horizontal="center" readingOrder="1"/>
    </xf>
    <xf numFmtId="0" fontId="2" fillId="0" borderId="145" xfId="0" applyFont="1" applyBorder="1"/>
    <xf numFmtId="0" fontId="2" fillId="0" borderId="146" xfId="0" applyFont="1" applyBorder="1"/>
    <xf numFmtId="166" fontId="37" fillId="3" borderId="147" xfId="0" applyNumberFormat="1" applyFont="1" applyFill="1" applyBorder="1" applyAlignment="1">
      <alignment horizontal="center" readingOrder="1"/>
    </xf>
    <xf numFmtId="0" fontId="2" fillId="3" borderId="90" xfId="0" applyFont="1" applyFill="1" applyBorder="1" applyAlignment="1">
      <alignment horizontal="left" vertical="top" wrapText="1" readingOrder="1"/>
    </xf>
    <xf numFmtId="0" fontId="2" fillId="3" borderId="90" xfId="0" applyFont="1" applyFill="1" applyBorder="1" applyAlignment="1">
      <alignment horizontal="left" wrapText="1" readingOrder="1"/>
    </xf>
    <xf numFmtId="166" fontId="19" fillId="4" borderId="128" xfId="0" applyNumberFormat="1" applyFont="1" applyFill="1" applyBorder="1" applyAlignment="1">
      <alignment horizontal="center" readingOrder="1"/>
    </xf>
    <xf numFmtId="166" fontId="19" fillId="4" borderId="129" xfId="0" applyNumberFormat="1" applyFont="1" applyFill="1" applyBorder="1" applyAlignment="1">
      <alignment horizontal="center" readingOrder="1"/>
    </xf>
    <xf numFmtId="166" fontId="19" fillId="4" borderId="130" xfId="0" applyNumberFormat="1" applyFont="1" applyFill="1" applyBorder="1" applyAlignment="1">
      <alignment horizontal="center" readingOrder="1"/>
    </xf>
    <xf numFmtId="0" fontId="8" fillId="17" borderId="47" xfId="0" applyFont="1" applyFill="1" applyBorder="1" applyAlignment="1">
      <alignment vertical="center"/>
    </xf>
    <xf numFmtId="0" fontId="2" fillId="17" borderId="68" xfId="0" applyFont="1" applyFill="1" applyBorder="1" applyAlignment="1">
      <alignment vertical="center"/>
    </xf>
    <xf numFmtId="0" fontId="8" fillId="18" borderId="86" xfId="0" applyFont="1" applyFill="1" applyBorder="1" applyAlignment="1">
      <alignment horizontal="center"/>
    </xf>
    <xf numFmtId="0" fontId="2" fillId="19" borderId="69" xfId="0" applyFont="1" applyFill="1" applyBorder="1"/>
    <xf numFmtId="0" fontId="2" fillId="19" borderId="10" xfId="0" applyFont="1" applyFill="1" applyBorder="1"/>
    <xf numFmtId="0" fontId="6" fillId="13" borderId="73" xfId="0" applyFont="1" applyFill="1" applyBorder="1" applyAlignment="1">
      <alignment wrapText="1"/>
    </xf>
    <xf numFmtId="0" fontId="2" fillId="8" borderId="77" xfId="0" applyFont="1" applyFill="1" applyBorder="1"/>
    <xf numFmtId="0" fontId="22" fillId="10" borderId="82" xfId="0" applyFont="1" applyFill="1" applyBorder="1" applyAlignment="1">
      <alignment horizontal="left" vertical="center"/>
    </xf>
    <xf numFmtId="0" fontId="22" fillId="10" borderId="72" xfId="0" applyFont="1" applyFill="1" applyBorder="1" applyAlignment="1">
      <alignment horizontal="left" vertical="center"/>
    </xf>
    <xf numFmtId="0" fontId="22" fillId="10" borderId="45" xfId="0" applyFont="1" applyFill="1" applyBorder="1" applyAlignment="1">
      <alignment horizontal="left" vertical="center"/>
    </xf>
    <xf numFmtId="0" fontId="22" fillId="10" borderId="80" xfId="0" applyFont="1" applyFill="1" applyBorder="1" applyAlignment="1">
      <alignment horizontal="left" vertical="center"/>
    </xf>
    <xf numFmtId="2" fontId="8" fillId="18" borderId="86" xfId="0" applyNumberFormat="1" applyFont="1" applyFill="1" applyBorder="1" applyAlignment="1">
      <alignment horizontal="center"/>
    </xf>
    <xf numFmtId="2" fontId="8" fillId="18" borderId="69" xfId="0" applyNumberFormat="1" applyFont="1" applyFill="1" applyBorder="1" applyAlignment="1">
      <alignment horizontal="center"/>
    </xf>
    <xf numFmtId="2" fontId="8" fillId="18" borderId="10" xfId="0" applyNumberFormat="1" applyFont="1" applyFill="1" applyBorder="1" applyAlignment="1">
      <alignment horizontal="center"/>
    </xf>
    <xf numFmtId="0" fontId="8" fillId="18" borderId="121" xfId="0" applyFont="1" applyFill="1" applyBorder="1" applyAlignment="1">
      <alignment horizontal="center"/>
    </xf>
    <xf numFmtId="0" fontId="2" fillId="19" borderId="120" xfId="0" applyFont="1" applyFill="1" applyBorder="1"/>
    <xf numFmtId="0" fontId="13" fillId="18" borderId="126" xfId="0" applyFont="1" applyFill="1" applyBorder="1"/>
    <xf numFmtId="0" fontId="2" fillId="19" borderId="127" xfId="0" applyFont="1" applyFill="1" applyBorder="1"/>
    <xf numFmtId="0" fontId="6" fillId="8" borderId="115" xfId="0" applyFont="1" applyFill="1" applyBorder="1" applyAlignment="1">
      <alignment wrapText="1"/>
    </xf>
    <xf numFmtId="0" fontId="2" fillId="8" borderId="103" xfId="0" applyFont="1" applyFill="1" applyBorder="1"/>
    <xf numFmtId="0" fontId="13" fillId="18" borderId="122" xfId="0" applyFont="1" applyFill="1" applyBorder="1"/>
    <xf numFmtId="0" fontId="2" fillId="19" borderId="118" xfId="0" applyFont="1" applyFill="1" applyBorder="1"/>
    <xf numFmtId="0" fontId="8" fillId="4" borderId="47" xfId="0" applyFont="1" applyFill="1" applyBorder="1" applyAlignment="1">
      <alignment vertical="center"/>
    </xf>
    <xf numFmtId="0" fontId="2" fillId="0" borderId="68" xfId="0" applyFont="1" applyBorder="1" applyAlignment="1">
      <alignment vertical="center"/>
    </xf>
    <xf numFmtId="0" fontId="2" fillId="0" borderId="71" xfId="0" applyFont="1" applyBorder="1" applyAlignment="1">
      <alignment vertical="center"/>
    </xf>
    <xf numFmtId="166" fontId="17" fillId="24" borderId="144" xfId="0" applyNumberFormat="1" applyFont="1" applyFill="1" applyBorder="1" applyAlignment="1">
      <alignment horizontal="center" readingOrder="1"/>
    </xf>
    <xf numFmtId="0" fontId="2" fillId="23" borderId="145" xfId="0" applyFont="1" applyFill="1" applyBorder="1"/>
    <xf numFmtId="0" fontId="2" fillId="23" borderId="146" xfId="0" applyFont="1" applyFill="1" applyBorder="1"/>
    <xf numFmtId="166" fontId="37" fillId="24" borderId="147" xfId="0" applyNumberFormat="1" applyFont="1" applyFill="1" applyBorder="1" applyAlignment="1">
      <alignment horizontal="center" readingOrder="1"/>
    </xf>
    <xf numFmtId="0" fontId="38" fillId="23" borderId="90" xfId="0" applyFont="1" applyFill="1" applyBorder="1"/>
    <xf numFmtId="0" fontId="38" fillId="23" borderId="148" xfId="0" applyFont="1" applyFill="1" applyBorder="1"/>
    <xf numFmtId="166" fontId="19" fillId="24" borderId="128" xfId="0" applyNumberFormat="1" applyFont="1" applyFill="1" applyBorder="1" applyAlignment="1">
      <alignment horizontal="center" readingOrder="1"/>
    </xf>
    <xf numFmtId="166" fontId="19" fillId="24" borderId="129" xfId="0" applyNumberFormat="1" applyFont="1" applyFill="1" applyBorder="1" applyAlignment="1">
      <alignment horizontal="center" readingOrder="1"/>
    </xf>
    <xf numFmtId="166" fontId="19" fillId="24" borderId="130" xfId="0" applyNumberFormat="1" applyFont="1" applyFill="1" applyBorder="1" applyAlignment="1">
      <alignment horizontal="center" readingOrder="1"/>
    </xf>
    <xf numFmtId="166" fontId="9" fillId="24" borderId="147" xfId="0" applyNumberFormat="1" applyFont="1" applyFill="1" applyBorder="1" applyAlignment="1">
      <alignment horizontal="left" wrapText="1" readingOrder="1"/>
    </xf>
    <xf numFmtId="166" fontId="9" fillId="24" borderId="90" xfId="0" applyNumberFormat="1" applyFont="1" applyFill="1" applyBorder="1" applyAlignment="1">
      <alignment horizontal="left" wrapText="1" readingOrder="1"/>
    </xf>
    <xf numFmtId="166" fontId="9" fillId="24" borderId="148" xfId="0" applyNumberFormat="1" applyFont="1" applyFill="1" applyBorder="1" applyAlignment="1">
      <alignment horizontal="left" wrapText="1" readingOrder="1"/>
    </xf>
    <xf numFmtId="0" fontId="2" fillId="24" borderId="90" xfId="0" applyFont="1" applyFill="1" applyBorder="1" applyAlignment="1">
      <alignment horizontal="left" vertical="top" wrapText="1" readingOrder="1"/>
    </xf>
    <xf numFmtId="0" fontId="2" fillId="24" borderId="148" xfId="0" applyFont="1" applyFill="1" applyBorder="1" applyAlignment="1">
      <alignment horizontal="left" vertical="top" wrapText="1" readingOrder="1"/>
    </xf>
    <xf numFmtId="0" fontId="24" fillId="0" borderId="90" xfId="0" applyFont="1" applyBorder="1" applyAlignment="1">
      <alignment horizontal="left" vertical="center" wrapText="1"/>
    </xf>
    <xf numFmtId="0" fontId="10" fillId="6" borderId="51" xfId="0" applyFont="1" applyFill="1" applyBorder="1" applyAlignment="1">
      <alignment horizontal="center" vertical="center"/>
    </xf>
    <xf numFmtId="0" fontId="2" fillId="0" borderId="52" xfId="0" applyFont="1" applyBorder="1"/>
    <xf numFmtId="0" fontId="2" fillId="0" borderId="53" xfId="0" applyFont="1" applyBorder="1"/>
    <xf numFmtId="0" fontId="27" fillId="9" borderId="135" xfId="0" applyFont="1" applyFill="1" applyBorder="1" applyAlignment="1" applyProtection="1">
      <alignment horizontal="center" vertical="center"/>
      <protection locked="0"/>
    </xf>
    <xf numFmtId="0" fontId="28" fillId="8" borderId="56" xfId="0" applyFont="1" applyFill="1" applyBorder="1" applyAlignment="1" applyProtection="1">
      <alignment horizontal="center"/>
      <protection locked="0"/>
    </xf>
    <xf numFmtId="0" fontId="27" fillId="9" borderId="58" xfId="0" applyFont="1" applyFill="1" applyBorder="1" applyAlignment="1" applyProtection="1">
      <alignment horizontal="center" vertical="center"/>
      <protection locked="0"/>
    </xf>
    <xf numFmtId="0" fontId="28" fillId="8" borderId="57" xfId="0" applyFont="1" applyFill="1" applyBorder="1" applyAlignment="1" applyProtection="1">
      <alignment horizontal="center"/>
      <protection locked="0"/>
    </xf>
    <xf numFmtId="39" fontId="27" fillId="9" borderId="58" xfId="0" applyNumberFormat="1" applyFont="1" applyFill="1" applyBorder="1" applyAlignment="1" applyProtection="1">
      <alignment horizontal="center" vertical="center"/>
      <protection locked="0"/>
    </xf>
    <xf numFmtId="39" fontId="28" fillId="8" borderId="57" xfId="0" applyNumberFormat="1" applyFont="1" applyFill="1" applyBorder="1" applyAlignment="1" applyProtection="1">
      <alignment horizontal="center"/>
      <protection locked="0"/>
    </xf>
    <xf numFmtId="0" fontId="15" fillId="0" borderId="90" xfId="0" applyFont="1" applyBorder="1" applyAlignment="1">
      <alignment horizontal="left" vertical="center" wrapText="1" indent="1"/>
    </xf>
    <xf numFmtId="0" fontId="15" fillId="0" borderId="90" xfId="0" applyFont="1" applyBorder="1" applyAlignment="1">
      <alignment horizontal="left" vertical="top" wrapText="1" indent="1"/>
    </xf>
    <xf numFmtId="0" fontId="0" fillId="25" borderId="170" xfId="0" applyFill="1" applyBorder="1" applyAlignment="1">
      <alignment horizontal="left" vertical="center" wrapText="1"/>
    </xf>
    <xf numFmtId="0" fontId="0" fillId="25" borderId="171" xfId="0" applyFill="1" applyBorder="1" applyAlignment="1">
      <alignment horizontal="left" vertical="center" wrapText="1"/>
    </xf>
    <xf numFmtId="0" fontId="0" fillId="25" borderId="172" xfId="0" applyFill="1" applyBorder="1" applyAlignment="1">
      <alignment horizontal="left" vertical="center" wrapText="1"/>
    </xf>
    <xf numFmtId="0" fontId="0" fillId="25" borderId="173" xfId="0" applyFill="1" applyBorder="1" applyAlignment="1">
      <alignment horizontal="left" vertical="center" wrapText="1"/>
    </xf>
    <xf numFmtId="0" fontId="0" fillId="25" borderId="90" xfId="0" applyFill="1" applyBorder="1" applyAlignment="1">
      <alignment horizontal="left" vertical="center" wrapText="1"/>
    </xf>
    <xf numFmtId="0" fontId="0" fillId="25" borderId="174" xfId="0" applyFill="1" applyBorder="1" applyAlignment="1">
      <alignment horizontal="left" vertical="center" wrapText="1"/>
    </xf>
    <xf numFmtId="0" fontId="0" fillId="25" borderId="175" xfId="0" applyFill="1" applyBorder="1" applyAlignment="1">
      <alignment horizontal="left" vertical="center" wrapText="1"/>
    </xf>
    <xf numFmtId="0" fontId="0" fillId="25" borderId="176" xfId="0" applyFill="1" applyBorder="1" applyAlignment="1">
      <alignment horizontal="left" vertical="center" wrapText="1"/>
    </xf>
    <xf numFmtId="0" fontId="0" fillId="25" borderId="177" xfId="0" applyFill="1" applyBorder="1" applyAlignment="1">
      <alignment horizontal="left" vertical="center" wrapText="1"/>
    </xf>
    <xf numFmtId="0" fontId="15" fillId="0" borderId="0" xfId="0" applyFont="1" applyAlignment="1">
      <alignment horizontal="left" vertical="top" wrapText="1" indent="1"/>
    </xf>
    <xf numFmtId="0" fontId="0" fillId="0" borderId="0" xfId="0" applyAlignment="1">
      <alignment horizontal="left" vertical="top" indent="1"/>
    </xf>
    <xf numFmtId="165" fontId="27" fillId="9" borderId="58" xfId="0" applyNumberFormat="1" applyFont="1" applyFill="1" applyBorder="1" applyAlignment="1" applyProtection="1">
      <alignment horizontal="center" vertical="center"/>
      <protection locked="0"/>
    </xf>
    <xf numFmtId="165" fontId="28" fillId="8" borderId="57" xfId="0" applyNumberFormat="1" applyFont="1" applyFill="1" applyBorder="1" applyAlignment="1" applyProtection="1">
      <alignment horizontal="center"/>
      <protection locked="0"/>
    </xf>
    <xf numFmtId="164" fontId="27" fillId="9" borderId="58" xfId="0" applyNumberFormat="1" applyFont="1" applyFill="1" applyBorder="1" applyAlignment="1" applyProtection="1">
      <alignment horizontal="center" vertical="center" wrapText="1"/>
      <protection locked="0"/>
    </xf>
    <xf numFmtId="0" fontId="28" fillId="8" borderId="57" xfId="0" applyFont="1" applyFill="1" applyBorder="1" applyProtection="1">
      <protection locked="0"/>
    </xf>
    <xf numFmtId="0" fontId="2" fillId="0" borderId="117" xfId="0" applyFont="1" applyBorder="1" applyAlignment="1">
      <alignment horizontal="center" vertical="center"/>
    </xf>
    <xf numFmtId="0" fontId="2" fillId="0" borderId="155" xfId="0" applyFont="1" applyBorder="1" applyAlignment="1">
      <alignment horizontal="center" vertical="center"/>
    </xf>
    <xf numFmtId="0" fontId="6" fillId="23" borderId="94" xfId="0" applyFont="1" applyFill="1" applyBorder="1" applyAlignment="1" applyProtection="1">
      <alignment wrapText="1"/>
      <protection locked="0"/>
    </xf>
    <xf numFmtId="0" fontId="2" fillId="23" borderId="22" xfId="0" applyFont="1" applyFill="1" applyBorder="1" applyProtection="1">
      <protection locked="0"/>
    </xf>
    <xf numFmtId="0" fontId="8" fillId="25" borderId="47" xfId="0" applyFont="1" applyFill="1" applyBorder="1" applyAlignment="1">
      <alignment vertical="center" wrapText="1"/>
    </xf>
    <xf numFmtId="0" fontId="2" fillId="25" borderId="68" xfId="0" applyFont="1" applyFill="1" applyBorder="1" applyAlignment="1">
      <alignment vertical="center"/>
    </xf>
    <xf numFmtId="0" fontId="2" fillId="25" borderId="71" xfId="0" applyFont="1" applyFill="1" applyBorder="1" applyAlignment="1">
      <alignment vertical="center"/>
    </xf>
    <xf numFmtId="0" fontId="8" fillId="18" borderId="82" xfId="0" applyFont="1" applyFill="1" applyBorder="1" applyAlignment="1">
      <alignment horizontal="center"/>
    </xf>
    <xf numFmtId="0" fontId="2" fillId="19" borderId="84" xfId="0" applyFont="1" applyFill="1" applyBorder="1"/>
    <xf numFmtId="0" fontId="2" fillId="19" borderId="45" xfId="0" applyFont="1" applyFill="1" applyBorder="1"/>
    <xf numFmtId="0" fontId="2" fillId="19" borderId="46" xfId="0" applyFont="1" applyFill="1" applyBorder="1"/>
    <xf numFmtId="0" fontId="12" fillId="0" borderId="156" xfId="0" applyFont="1" applyBorder="1" applyAlignment="1">
      <alignment horizontal="right" vertical="center"/>
    </xf>
    <xf numFmtId="0" fontId="12" fillId="0" borderId="72" xfId="0" applyFont="1" applyBorder="1" applyAlignment="1">
      <alignment horizontal="right" vertical="center"/>
    </xf>
    <xf numFmtId="0" fontId="31" fillId="0" borderId="159" xfId="0" applyFont="1" applyBorder="1" applyAlignment="1">
      <alignment horizontal="right" vertical="center"/>
    </xf>
    <xf numFmtId="0" fontId="31" fillId="0" borderId="117" xfId="0" applyFont="1" applyBorder="1" applyAlignment="1">
      <alignment horizontal="right" vertical="center"/>
    </xf>
    <xf numFmtId="0" fontId="31" fillId="0" borderId="160" xfId="0" applyFont="1" applyBorder="1" applyAlignment="1">
      <alignment horizontal="right" vertical="center"/>
    </xf>
    <xf numFmtId="0" fontId="41" fillId="27" borderId="153" xfId="0" applyFont="1" applyFill="1" applyBorder="1" applyAlignment="1" applyProtection="1">
      <alignment horizontal="center" vertical="center"/>
      <protection locked="0"/>
    </xf>
    <xf numFmtId="0" fontId="41" fillId="27" borderId="154" xfId="0" applyFont="1" applyFill="1" applyBorder="1" applyAlignment="1" applyProtection="1">
      <alignment horizontal="center" vertical="center"/>
      <protection locked="0"/>
    </xf>
    <xf numFmtId="165" fontId="2" fillId="28" borderId="161" xfId="3" applyNumberFormat="1" applyFont="1" applyFill="1" applyBorder="1" applyAlignment="1">
      <alignment horizontal="center" vertical="center"/>
    </xf>
    <xf numFmtId="165" fontId="2" fillId="28" borderId="160" xfId="3" applyNumberFormat="1" applyFont="1" applyFill="1" applyBorder="1" applyAlignment="1">
      <alignment horizontal="center" vertical="center"/>
    </xf>
    <xf numFmtId="0" fontId="40" fillId="0" borderId="157" xfId="0" applyFont="1" applyBorder="1" applyAlignment="1">
      <alignment horizontal="center" vertical="center"/>
    </xf>
    <xf numFmtId="0" fontId="2" fillId="0" borderId="158" xfId="0" applyFont="1" applyBorder="1" applyAlignment="1">
      <alignment horizontal="center" vertical="center"/>
    </xf>
    <xf numFmtId="0" fontId="8" fillId="20" borderId="85" xfId="0" applyFont="1" applyFill="1" applyBorder="1" applyAlignment="1">
      <alignment horizontal="right"/>
    </xf>
    <xf numFmtId="0" fontId="8" fillId="20" borderId="67" xfId="0" applyFont="1" applyFill="1" applyBorder="1" applyAlignment="1">
      <alignment horizontal="right"/>
    </xf>
    <xf numFmtId="0" fontId="1" fillId="20" borderId="47" xfId="0" applyFont="1" applyFill="1" applyBorder="1" applyAlignment="1">
      <alignment horizontal="right"/>
    </xf>
    <xf numFmtId="0" fontId="1" fillId="20" borderId="68" xfId="0" applyFont="1" applyFill="1" applyBorder="1" applyAlignment="1">
      <alignment horizontal="right"/>
    </xf>
    <xf numFmtId="0" fontId="6" fillId="13" borderId="94" xfId="0" applyFont="1" applyFill="1" applyBorder="1" applyAlignment="1" applyProtection="1">
      <alignment wrapText="1"/>
      <protection locked="0"/>
    </xf>
    <xf numFmtId="0" fontId="2" fillId="8" borderId="22" xfId="0" applyFont="1" applyFill="1" applyBorder="1" applyProtection="1">
      <protection locked="0"/>
    </xf>
    <xf numFmtId="0" fontId="8" fillId="20" borderId="111" xfId="0" applyFont="1" applyFill="1" applyBorder="1" applyAlignment="1">
      <alignment horizontal="right"/>
    </xf>
    <xf numFmtId="0" fontId="8" fillId="20" borderId="39" xfId="0" applyFont="1" applyFill="1" applyBorder="1" applyAlignment="1">
      <alignment horizontal="right"/>
    </xf>
    <xf numFmtId="0" fontId="8" fillId="20" borderId="35" xfId="0" applyFont="1" applyFill="1" applyBorder="1" applyAlignment="1">
      <alignment horizontal="right"/>
    </xf>
    <xf numFmtId="0" fontId="6" fillId="8" borderId="94" xfId="0" applyFont="1" applyFill="1" applyBorder="1" applyAlignment="1" applyProtection="1">
      <alignment wrapText="1"/>
      <protection locked="0"/>
    </xf>
    <xf numFmtId="0" fontId="8" fillId="12" borderId="82" xfId="0" applyFont="1" applyFill="1" applyBorder="1" applyAlignment="1">
      <alignment vertical="center" wrapText="1"/>
    </xf>
    <xf numFmtId="0" fontId="2" fillId="12" borderId="72" xfId="0" applyFont="1" applyFill="1" applyBorder="1" applyAlignment="1">
      <alignment vertical="center"/>
    </xf>
    <xf numFmtId="0" fontId="2" fillId="12" borderId="84" xfId="0" applyFont="1" applyFill="1" applyBorder="1" applyAlignment="1">
      <alignment vertical="center"/>
    </xf>
    <xf numFmtId="0" fontId="8" fillId="0" borderId="47" xfId="0" applyFont="1" applyBorder="1" applyAlignment="1">
      <alignment vertical="center" wrapText="1"/>
    </xf>
    <xf numFmtId="0" fontId="2" fillId="0" borderId="50" xfId="0" applyFont="1" applyBorder="1" applyAlignment="1">
      <alignment vertical="center"/>
    </xf>
    <xf numFmtId="0" fontId="2" fillId="0" borderId="12" xfId="0" applyFont="1" applyBorder="1" applyAlignment="1">
      <alignment vertical="center"/>
    </xf>
    <xf numFmtId="0" fontId="22" fillId="10" borderId="74" xfId="0" applyFont="1" applyFill="1" applyBorder="1" applyAlignment="1">
      <alignment horizontal="left" vertical="center"/>
    </xf>
    <xf numFmtId="0" fontId="22" fillId="10" borderId="66" xfId="0" applyFont="1" applyFill="1" applyBorder="1" applyAlignment="1">
      <alignment horizontal="left" vertical="center"/>
    </xf>
    <xf numFmtId="0" fontId="8" fillId="12" borderId="1" xfId="0" applyFont="1" applyFill="1" applyBorder="1" applyAlignment="1">
      <alignment vertical="center" wrapText="1"/>
    </xf>
    <xf numFmtId="0" fontId="2" fillId="12" borderId="31" xfId="0" applyFont="1" applyFill="1" applyBorder="1" applyAlignment="1">
      <alignment vertical="center"/>
    </xf>
    <xf numFmtId="0" fontId="6" fillId="8" borderId="94" xfId="0" applyFont="1" applyFill="1" applyBorder="1" applyAlignment="1" applyProtection="1">
      <alignment horizontal="left" wrapText="1"/>
      <protection locked="0"/>
    </xf>
    <xf numFmtId="0" fontId="2" fillId="8" borderId="22" xfId="0" applyFont="1" applyFill="1" applyBorder="1" applyAlignment="1" applyProtection="1">
      <alignment horizontal="left"/>
      <protection locked="0"/>
    </xf>
    <xf numFmtId="0" fontId="6" fillId="13" borderId="94" xfId="0" applyFont="1" applyFill="1" applyBorder="1" applyAlignment="1" applyProtection="1">
      <alignment horizontal="left" wrapText="1"/>
      <protection locked="0"/>
    </xf>
    <xf numFmtId="0" fontId="6" fillId="8" borderId="73" xfId="0" applyFont="1" applyFill="1" applyBorder="1" applyAlignment="1" applyProtection="1">
      <alignment horizontal="left" wrapText="1"/>
      <protection locked="0"/>
    </xf>
    <xf numFmtId="0" fontId="6" fillId="8" borderId="77" xfId="0" applyFont="1" applyFill="1" applyBorder="1" applyAlignment="1" applyProtection="1">
      <alignment horizontal="left" wrapText="1"/>
      <protection locked="0"/>
    </xf>
    <xf numFmtId="0" fontId="8" fillId="12" borderId="47" xfId="0" applyFont="1" applyFill="1" applyBorder="1" applyAlignment="1">
      <alignment vertical="center" wrapText="1"/>
    </xf>
    <xf numFmtId="0" fontId="2" fillId="12" borderId="68" xfId="0" applyFont="1" applyFill="1" applyBorder="1" applyAlignment="1">
      <alignment vertical="center"/>
    </xf>
    <xf numFmtId="0" fontId="2" fillId="12" borderId="71" xfId="0" applyFont="1" applyFill="1" applyBorder="1" applyAlignment="1">
      <alignment vertical="center"/>
    </xf>
    <xf numFmtId="0" fontId="2" fillId="8" borderId="110" xfId="0" applyFont="1" applyFill="1" applyBorder="1" applyAlignment="1" applyProtection="1">
      <alignment horizontal="left"/>
      <protection locked="0"/>
    </xf>
    <xf numFmtId="0" fontId="6" fillId="8" borderId="70" xfId="0" applyFont="1" applyFill="1" applyBorder="1" applyAlignment="1" applyProtection="1">
      <alignment horizontal="left" wrapText="1"/>
      <protection locked="0"/>
    </xf>
    <xf numFmtId="0" fontId="2" fillId="8" borderId="110" xfId="0" applyFont="1" applyFill="1" applyBorder="1" applyProtection="1">
      <protection locked="0"/>
    </xf>
    <xf numFmtId="0" fontId="8" fillId="18" borderId="87" xfId="0" applyFont="1" applyFill="1" applyBorder="1" applyAlignment="1">
      <alignment horizontal="center"/>
    </xf>
    <xf numFmtId="0" fontId="2" fillId="19" borderId="41" xfId="0" applyFont="1" applyFill="1" applyBorder="1"/>
    <xf numFmtId="0" fontId="2" fillId="19" borderId="80" xfId="0" applyFont="1" applyFill="1" applyBorder="1"/>
    <xf numFmtId="0" fontId="8" fillId="20" borderId="88" xfId="0" applyFont="1" applyFill="1" applyBorder="1" applyAlignment="1">
      <alignment horizontal="right"/>
    </xf>
    <xf numFmtId="0" fontId="8" fillId="20" borderId="98" xfId="0" applyFont="1" applyFill="1" applyBorder="1" applyAlignment="1">
      <alignment horizontal="right"/>
    </xf>
    <xf numFmtId="0" fontId="8" fillId="18" borderId="13" xfId="0" applyFont="1" applyFill="1" applyBorder="1" applyAlignment="1">
      <alignment horizontal="center"/>
    </xf>
    <xf numFmtId="0" fontId="2" fillId="19" borderId="90" xfId="0" applyFont="1" applyFill="1" applyBorder="1"/>
    <xf numFmtId="2" fontId="8" fillId="18" borderId="94" xfId="0" applyNumberFormat="1" applyFont="1" applyFill="1" applyBorder="1" applyAlignment="1">
      <alignment horizontal="center"/>
    </xf>
    <xf numFmtId="0" fontId="2" fillId="19" borderId="110" xfId="0" applyFont="1" applyFill="1" applyBorder="1"/>
    <xf numFmtId="0" fontId="2" fillId="19" borderId="22" xfId="0" applyFont="1" applyFill="1" applyBorder="1"/>
    <xf numFmtId="0" fontId="8" fillId="18" borderId="110" xfId="0" applyFont="1" applyFill="1" applyBorder="1" applyAlignment="1">
      <alignment horizontal="center"/>
    </xf>
    <xf numFmtId="0" fontId="8" fillId="18" borderId="70" xfId="0" applyFont="1" applyFill="1" applyBorder="1" applyAlignment="1">
      <alignment horizontal="center"/>
    </xf>
    <xf numFmtId="0" fontId="2" fillId="19" borderId="70" xfId="0" applyFont="1" applyFill="1" applyBorder="1"/>
    <xf numFmtId="0" fontId="2" fillId="19" borderId="77" xfId="0" applyFont="1" applyFill="1" applyBorder="1"/>
    <xf numFmtId="0" fontId="36" fillId="10" borderId="82" xfId="0" applyFont="1" applyFill="1" applyBorder="1" applyAlignment="1">
      <alignment horizontal="left" vertical="center"/>
    </xf>
    <xf numFmtId="0" fontId="36" fillId="10" borderId="72" xfId="0" applyFont="1" applyFill="1" applyBorder="1" applyAlignment="1">
      <alignment horizontal="left" vertical="center"/>
    </xf>
    <xf numFmtId="0" fontId="36" fillId="10" borderId="45" xfId="0" applyFont="1" applyFill="1" applyBorder="1" applyAlignment="1">
      <alignment horizontal="left" vertical="center"/>
    </xf>
    <xf numFmtId="0" fontId="36" fillId="10" borderId="80" xfId="0" applyFont="1" applyFill="1" applyBorder="1" applyAlignment="1">
      <alignment horizontal="left" vertical="center"/>
    </xf>
  </cellXfs>
  <cellStyles count="4">
    <cellStyle name="Comma" xfId="2" builtinId="3"/>
    <cellStyle name="Currency" xfId="3" builtinId="4"/>
    <cellStyle name="Normal" xfId="0" builtinId="0"/>
    <cellStyle name="Percent" xfId="1" builtinId="5"/>
  </cellStyles>
  <dxfs count="45">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bgColor theme="1"/>
        </patternFill>
      </fill>
    </dxf>
    <dxf>
      <fill>
        <patternFill>
          <bgColor theme="1"/>
        </patternFill>
      </fill>
    </dxf>
    <dxf>
      <font>
        <b/>
        <i val="0"/>
        <color rgb="FFFF0000"/>
      </font>
    </dxf>
    <dxf>
      <font>
        <b/>
        <i val="0"/>
        <color rgb="FFFF0000"/>
      </font>
    </dxf>
    <dxf>
      <numFmt numFmtId="165" formatCode="&quot;$&quot;#,##0.00"/>
      <fill>
        <patternFill patternType="solid">
          <bgColor theme="8" tint="0.79998168889431442"/>
        </patternFill>
      </fill>
    </dxf>
    <dxf>
      <numFmt numFmtId="14" formatCode="0.00%"/>
      <fill>
        <patternFill patternType="solid">
          <bgColor theme="8" tint="0.79998168889431442"/>
        </patternFill>
      </fill>
    </dxf>
    <dxf>
      <numFmt numFmtId="165" formatCode="&quot;$&quot;#,##0.00"/>
      <fill>
        <patternFill patternType="solid">
          <bgColor theme="8" tint="0.79998168889431442"/>
        </patternFill>
      </fill>
    </dxf>
    <dxf>
      <numFmt numFmtId="14" formatCode="0.00%"/>
      <fill>
        <patternFill patternType="solid">
          <bgColor theme="8" tint="0.79998168889431442"/>
        </patternFill>
      </fill>
    </dxf>
    <dxf>
      <numFmt numFmtId="165" formatCode="&quot;$&quot;#,##0.00"/>
      <fill>
        <patternFill patternType="solid">
          <bgColor theme="8" tint="0.79998168889431442"/>
        </patternFill>
      </fill>
    </dxf>
    <dxf>
      <numFmt numFmtId="14" formatCode="0.00%"/>
      <fill>
        <patternFill patternType="solid">
          <bgColor theme="8" tint="0.79998168889431442"/>
        </patternFill>
      </fill>
    </dxf>
    <dxf>
      <numFmt numFmtId="165" formatCode="&quot;$&quot;#,##0.00"/>
      <fill>
        <patternFill patternType="solid">
          <bgColor theme="8" tint="0.79998168889431442"/>
        </patternFill>
      </fill>
    </dxf>
    <dxf>
      <numFmt numFmtId="14" formatCode="0.00%"/>
      <fill>
        <patternFill patternType="solid">
          <bgColor theme="8" tint="0.79998168889431442"/>
        </patternFill>
      </fill>
    </dxf>
    <dxf>
      <numFmt numFmtId="165" formatCode="&quot;$&quot;#,##0.00"/>
      <fill>
        <patternFill patternType="solid">
          <bgColor theme="8" tint="0.79998168889431442"/>
        </patternFill>
      </fill>
    </dxf>
    <dxf>
      <numFmt numFmtId="14" formatCode="0.00%"/>
      <fill>
        <patternFill patternType="solid">
          <bgColor theme="8" tint="0.79998168889431442"/>
        </patternFill>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colors>
    <mruColors>
      <color rgb="FFB8CCE4"/>
      <color rgb="FFF2DCDB"/>
      <color rgb="FFFFFF99"/>
      <color rgb="FFCA6A68"/>
      <color rgb="FFD58987"/>
      <color rgb="FF00CC00"/>
      <color rgb="FF3366FF"/>
      <color rgb="FF6699FF"/>
      <color rgb="FF6666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activeX/activeX5.xml><?xml version="1.0" encoding="utf-8"?>
<ax:ocx xmlns:ax="http://schemas.microsoft.com/office/2006/activeX" xmlns:r="http://schemas.openxmlformats.org/officeDocument/2006/relationships" ax:classid="{D7053240-CE69-11CD-A777-00DD01143C57}" ax:persistence="persistStreamInit" r:id="rId1"/>
</file>

<file path=xl/activeX/activeX6.xml><?xml version="1.0" encoding="utf-8"?>
<ax:ocx xmlns:ax="http://schemas.microsoft.com/office/2006/activeX" xmlns:r="http://schemas.openxmlformats.org/officeDocument/2006/relationships" ax:classid="{D7053240-CE69-11CD-A777-00DD01143C57}" ax:persistence="persistStreamInit" r:id="rId1"/>
</file>

<file path=xl/activeX/activeX7.xml><?xml version="1.0" encoding="utf-8"?>
<ax:ocx xmlns:ax="http://schemas.microsoft.com/office/2006/activeX" xmlns:r="http://schemas.openxmlformats.org/officeDocument/2006/relationships" ax:classid="{D7053240-CE69-11CD-A777-00DD01143C57}" ax:persistence="persistStreamInit" r:id="rId1"/>
</file>

<file path=xl/activeX/activeX8.xml><?xml version="1.0" encoding="utf-8"?>
<ax:ocx xmlns:ax="http://schemas.microsoft.com/office/2006/activeX" xmlns:r="http://schemas.openxmlformats.org/officeDocument/2006/relationships" ax:classid="{D7053240-CE69-11CD-A777-00DD01143C57}" ax:persistence="persistStreamInit" r:id="rId1"/>
</file>

<file path=xl/activeX/activeX9.xml><?xml version="1.0" encoding="utf-8"?>
<ax:ocx xmlns:ax="http://schemas.microsoft.com/office/2006/activeX" xmlns:r="http://schemas.openxmlformats.org/officeDocument/2006/relationships" ax:classid="{D7053240-CE69-11CD-A777-00DD01143C57}" ax:persistence="persistStreamInit" r:id="rId1"/>
</file>

<file path=xl/activeX/activeX10.xml><?xml version="1.0" encoding="utf-8"?>
<ax:ocx xmlns:ax="http://schemas.microsoft.com/office/2006/activeX" xmlns:r="http://schemas.openxmlformats.org/officeDocument/2006/relationships" ax:classid="{D7053240-CE69-11CD-A777-00DD01143C57}" ax:persistence="persistStreamInit" r:id="rId1"/>
</file>

<file path=xl/activeX/activeX11.xml><?xml version="1.0" encoding="utf-8"?>
<ax:ocx xmlns:ax="http://schemas.microsoft.com/office/2006/activeX" xmlns:r="http://schemas.openxmlformats.org/officeDocument/2006/relationships" ax:classid="{D7053240-CE69-11CD-A777-00DD01143C57}" ax:persistence="persistStreamInit" r:id="rId1"/>
</file>

<file path=xl/activeX/activeX12.xml><?xml version="1.0" encoding="utf-8"?>
<ax:ocx xmlns:ax="http://schemas.microsoft.com/office/2006/activeX" xmlns:r="http://schemas.openxmlformats.org/officeDocument/2006/relationships" ax:classid="{D7053240-CE69-11CD-A777-00DD01143C57}" ax:persistence="persistStreamInit" r:id="rId1"/>
</file>

<file path=xl/activeX/activeX13.xml><?xml version="1.0" encoding="utf-8"?>
<ax:ocx xmlns:ax="http://schemas.microsoft.com/office/2006/activeX" xmlns:r="http://schemas.openxmlformats.org/officeDocument/2006/relationships" ax:classid="{D7053240-CE69-11CD-A777-00DD01143C57}" ax:persistence="persistStreamInit" r:id="rId1"/>
</file>

<file path=xl/activeX/activeX14.xml><?xml version="1.0" encoding="utf-8"?>
<ax:ocx xmlns:ax="http://schemas.microsoft.com/office/2006/activeX" xmlns:r="http://schemas.openxmlformats.org/officeDocument/2006/relationships" ax:classid="{D7053240-CE69-11CD-A777-00DD01143C57}" ax:persistence="persistStreamInit" r:id="rId1"/>
</file>

<file path=xl/activeX/activeX15.xml><?xml version="1.0" encoding="utf-8"?>
<ax:ocx xmlns:ax="http://schemas.microsoft.com/office/2006/activeX" xmlns:r="http://schemas.openxmlformats.org/officeDocument/2006/relationships" ax:classid="{D7053240-CE69-11CD-A777-00DD01143C57}" ax:persistence="persistStreamInit" r:id="rId1"/>
</file>

<file path=xl/activeX/activeX16.xml><?xml version="1.0" encoding="utf-8"?>
<ax:ocx xmlns:ax="http://schemas.microsoft.com/office/2006/activeX" xmlns:r="http://schemas.openxmlformats.org/officeDocument/2006/relationships" ax:classid="{D7053240-CE69-11CD-A777-00DD01143C57}" ax:persistence="persistStreamInit" r:id="rId1"/>
</file>

<file path=xl/activeX/activeX17.xml><?xml version="1.0" encoding="utf-8"?>
<ax:ocx xmlns:ax="http://schemas.microsoft.com/office/2006/activeX" xmlns:r="http://schemas.openxmlformats.org/officeDocument/2006/relationships" ax:classid="{D7053240-CE69-11CD-A777-00DD01143C57}" ax:persistence="persistStreamInit" r:id="rId1"/>
</file>

<file path=xl/activeX/activeX18.xml><?xml version="1.0" encoding="utf-8"?>
<ax:ocx xmlns:ax="http://schemas.microsoft.com/office/2006/activeX" xmlns:r="http://schemas.openxmlformats.org/officeDocument/2006/relationships" ax:classid="{D7053240-CE69-11CD-A777-00DD01143C57}" ax:persistence="persistStreamInit" r:id="rId1"/>
</file>

<file path=xl/activeX/activeX19.xml><?xml version="1.0" encoding="utf-8"?>
<ax:ocx xmlns:ax="http://schemas.microsoft.com/office/2006/activeX" xmlns:r="http://schemas.openxmlformats.org/officeDocument/2006/relationships" ax:classid="{D7053240-CE69-11CD-A777-00DD01143C57}" ax:persistence="persistStreamInit" r:id="rId1"/>
</file>

<file path=xl/activeX/activeX20.xml><?xml version="1.0" encoding="utf-8"?>
<ax:ocx xmlns:ax="http://schemas.microsoft.com/office/2006/activeX" xmlns:r="http://schemas.openxmlformats.org/officeDocument/2006/relationships" ax:classid="{D7053240-CE69-11CD-A777-00DD01143C57}" ax:persistence="persistStreamInit" r:id="rId1"/>
</file>

<file path=xl/activeX/activeX21.xml><?xml version="1.0" encoding="utf-8"?>
<ax:ocx xmlns:ax="http://schemas.microsoft.com/office/2006/activeX" xmlns:r="http://schemas.openxmlformats.org/officeDocument/2006/relationships" ax:classid="{D7053240-CE69-11CD-A777-00DD01143C57}" ax:persistence="persistStreamInit" r:id="rId1"/>
</file>

<file path=xl/activeX/activeX22.xml><?xml version="1.0" encoding="utf-8"?>
<ax:ocx xmlns:ax="http://schemas.microsoft.com/office/2006/activeX" xmlns:r="http://schemas.openxmlformats.org/officeDocument/2006/relationships" ax:classid="{D7053240-CE69-11CD-A777-00DD01143C57}" ax:persistence="persistStreamInit" r:id="rId1"/>
</file>

<file path=xl/activeX/activeX23.xml><?xml version="1.0" encoding="utf-8"?>
<ax:ocx xmlns:ax="http://schemas.microsoft.com/office/2006/activeX" xmlns:r="http://schemas.openxmlformats.org/officeDocument/2006/relationships" ax:classid="{D7053240-CE69-11CD-A777-00DD01143C57}" ax:persistence="persistStreamInit" r:id="rId1"/>
</file>

<file path=xl/activeX/activeX24.xml><?xml version="1.0" encoding="utf-8"?>
<ax:ocx xmlns:ax="http://schemas.microsoft.com/office/2006/activeX" xmlns:r="http://schemas.openxmlformats.org/officeDocument/2006/relationships" ax:classid="{D7053240-CE69-11CD-A777-00DD01143C57}" ax:persistence="persistStreamInit" r:id="rId1"/>
</file>

<file path=xl/activeX/activeX25.xml><?xml version="1.0" encoding="utf-8"?>
<ax:ocx xmlns:ax="http://schemas.microsoft.com/office/2006/activeX" xmlns:r="http://schemas.openxmlformats.org/officeDocument/2006/relationships" ax:classid="{D7053240-CE69-11CD-A777-00DD01143C57}" ax:persistence="persistStreamInit" r:id="rId1"/>
</file>

<file path=xl/activeX/activeX26.xml><?xml version="1.0" encoding="utf-8"?>
<ax:ocx xmlns:ax="http://schemas.microsoft.com/office/2006/activeX" xmlns:r="http://schemas.openxmlformats.org/officeDocument/2006/relationships" ax:classid="{D7053240-CE69-11CD-A777-00DD01143C57}" ax:persistence="persistStreamInit" r:id="rId1"/>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8.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9.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0.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1.emf"/></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2.emf"/></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3.emf"/></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4.emf"/></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5.emf"/></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6.emf"/></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7.emf"/></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8.emf"/></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9.emf"/></Relationships>
</file>

<file path=xl/drawings/_rels/vmlDrawing20.vml.rels><?xml version="1.0" encoding="UTF-8" standalone="yes"?>
<Relationships xmlns="http://schemas.openxmlformats.org/package/2006/relationships"><Relationship Id="rId1" Type="http://schemas.openxmlformats.org/officeDocument/2006/relationships/image" Target="../media/image20.emf"/></Relationships>
</file>

<file path=xl/drawings/_rels/vmlDrawing21.vml.rels><?xml version="1.0" encoding="UTF-8" standalone="yes"?>
<Relationships xmlns="http://schemas.openxmlformats.org/package/2006/relationships"><Relationship Id="rId1" Type="http://schemas.openxmlformats.org/officeDocument/2006/relationships/image" Target="../media/image21.emf"/></Relationships>
</file>

<file path=xl/drawings/_rels/vmlDrawing22.vml.rels><?xml version="1.0" encoding="UTF-8" standalone="yes"?>
<Relationships xmlns="http://schemas.openxmlformats.org/package/2006/relationships"><Relationship Id="rId1" Type="http://schemas.openxmlformats.org/officeDocument/2006/relationships/image" Target="../media/image22.emf"/></Relationships>
</file>

<file path=xl/drawings/_rels/vmlDrawing23.vml.rels><?xml version="1.0" encoding="UTF-8" standalone="yes"?>
<Relationships xmlns="http://schemas.openxmlformats.org/package/2006/relationships"><Relationship Id="rId1" Type="http://schemas.openxmlformats.org/officeDocument/2006/relationships/image" Target="../media/image23.emf"/></Relationships>
</file>

<file path=xl/drawings/_rels/vmlDrawing24.vml.rels><?xml version="1.0" encoding="UTF-8" standalone="yes"?>
<Relationships xmlns="http://schemas.openxmlformats.org/package/2006/relationships"><Relationship Id="rId1" Type="http://schemas.openxmlformats.org/officeDocument/2006/relationships/image" Target="../media/image24.emf"/></Relationships>
</file>

<file path=xl/drawings/_rels/vmlDrawing25.vml.rels><?xml version="1.0" encoding="UTF-8" standalone="yes"?>
<Relationships xmlns="http://schemas.openxmlformats.org/package/2006/relationships"><Relationship Id="rId1" Type="http://schemas.openxmlformats.org/officeDocument/2006/relationships/image" Target="../media/image25.emf"/></Relationships>
</file>

<file path=xl/drawings/_rels/vmlDrawing26.vml.rels><?xml version="1.0" encoding="UTF-8" standalone="yes"?>
<Relationships xmlns="http://schemas.openxmlformats.org/package/2006/relationships"><Relationship Id="rId1" Type="http://schemas.openxmlformats.org/officeDocument/2006/relationships/image" Target="../media/image26.emf"/></Relationships>
</file>

<file path=xl/drawings/_rels/vmlDrawing27.vml.rels><?xml version="1.0" encoding="UTF-8" standalone="yes"?>
<Relationships xmlns="http://schemas.openxmlformats.org/package/2006/relationships"><Relationship Id="rId1" Type="http://schemas.openxmlformats.org/officeDocument/2006/relationships/image" Target="../media/image27.emf"/></Relationships>
</file>

<file path=xl/drawings/drawing1.xml><?xml version="1.0" encoding="utf-8"?>
<xdr:wsDr xmlns:xdr="http://schemas.openxmlformats.org/drawingml/2006/spreadsheetDrawing" xmlns:a="http://schemas.openxmlformats.org/drawingml/2006/main">
  <xdr:oneCellAnchor>
    <xdr:from>
      <xdr:col>0</xdr:col>
      <xdr:colOff>167121</xdr:colOff>
      <xdr:row>0</xdr:row>
      <xdr:rowOff>72737</xdr:rowOff>
    </xdr:from>
    <xdr:ext cx="904875" cy="904875"/>
    <xdr:pic>
      <xdr:nvPicPr>
        <xdr:cNvPr id="2" name="image1.jpg" descr="GSA Star Mark.">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67121" y="72737"/>
          <a:ext cx="904875" cy="9048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222250</xdr:colOff>
          <xdr:row>20</xdr:row>
          <xdr:rowOff>12700</xdr:rowOff>
        </xdr:from>
        <xdr:to>
          <xdr:col>11</xdr:col>
          <xdr:colOff>349250</xdr:colOff>
          <xdr:row>21</xdr:row>
          <xdr:rowOff>25400</xdr:rowOff>
        </xdr:to>
        <xdr:sp macro="" textlink="">
          <xdr:nvSpPr>
            <xdr:cNvPr id="33793" name="CommandButton1" descr="Add A Row Command Button" hidden="1">
              <a:extLst>
                <a:ext uri="{63B3BB69-23CF-44E3-9099-C40C66FF867C}">
                  <a14:compatExt spid="_x0000_s33793"/>
                </a:ext>
                <a:ext uri="{FF2B5EF4-FFF2-40B4-BE49-F238E27FC236}">
                  <a16:creationId xmlns:a16="http://schemas.microsoft.com/office/drawing/2014/main" id="{00000000-0008-0000-0400-0000018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222250</xdr:colOff>
          <xdr:row>17</xdr:row>
          <xdr:rowOff>12700</xdr:rowOff>
        </xdr:from>
        <xdr:to>
          <xdr:col>11</xdr:col>
          <xdr:colOff>298450</xdr:colOff>
          <xdr:row>18</xdr:row>
          <xdr:rowOff>19050</xdr:rowOff>
        </xdr:to>
        <xdr:sp macro="" textlink="">
          <xdr:nvSpPr>
            <xdr:cNvPr id="2052" name="CommandButton1" descr="Add A Row Command Button" hidden="1">
              <a:extLst>
                <a:ext uri="{63B3BB69-23CF-44E3-9099-C40C66FF867C}">
                  <a14:compatExt spid="_x0000_s2052"/>
                </a:ext>
                <a:ext uri="{FF2B5EF4-FFF2-40B4-BE49-F238E27FC236}">
                  <a16:creationId xmlns:a16="http://schemas.microsoft.com/office/drawing/2014/main" id="{00000000-0008-0000-0500-000004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190500</xdr:colOff>
          <xdr:row>18</xdr:row>
          <xdr:rowOff>0</xdr:rowOff>
        </xdr:from>
        <xdr:to>
          <xdr:col>11</xdr:col>
          <xdr:colOff>317500</xdr:colOff>
          <xdr:row>19</xdr:row>
          <xdr:rowOff>12700</xdr:rowOff>
        </xdr:to>
        <xdr:sp macro="" textlink="">
          <xdr:nvSpPr>
            <xdr:cNvPr id="6145" name="CommandButton1" descr="Add A Row Command Button" hidden="1">
              <a:extLst>
                <a:ext uri="{63B3BB69-23CF-44E3-9099-C40C66FF867C}">
                  <a14:compatExt spid="_x0000_s6145"/>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279400</xdr:colOff>
          <xdr:row>17</xdr:row>
          <xdr:rowOff>12700</xdr:rowOff>
        </xdr:from>
        <xdr:to>
          <xdr:col>11</xdr:col>
          <xdr:colOff>406400</xdr:colOff>
          <xdr:row>18</xdr:row>
          <xdr:rowOff>25400</xdr:rowOff>
        </xdr:to>
        <xdr:sp macro="" textlink="">
          <xdr:nvSpPr>
            <xdr:cNvPr id="7169" name="CommandButton1" descr="Add A Row Command Button" hidden="1">
              <a:extLst>
                <a:ext uri="{63B3BB69-23CF-44E3-9099-C40C66FF867C}">
                  <a14:compatExt spid="_x0000_s7169"/>
                </a:ext>
                <a:ext uri="{FF2B5EF4-FFF2-40B4-BE49-F238E27FC236}">
                  <a16:creationId xmlns:a16="http://schemas.microsoft.com/office/drawing/2014/main" id="{00000000-0008-0000-0700-000001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260350</xdr:colOff>
          <xdr:row>17</xdr:row>
          <xdr:rowOff>0</xdr:rowOff>
        </xdr:from>
        <xdr:to>
          <xdr:col>11</xdr:col>
          <xdr:colOff>387350</xdr:colOff>
          <xdr:row>18</xdr:row>
          <xdr:rowOff>12700</xdr:rowOff>
        </xdr:to>
        <xdr:sp macro="" textlink="">
          <xdr:nvSpPr>
            <xdr:cNvPr id="8193" name="CommandButton1" descr="Add A Row Command Button" hidden="1">
              <a:extLst>
                <a:ext uri="{63B3BB69-23CF-44E3-9099-C40C66FF867C}">
                  <a14:compatExt spid="_x0000_s8193"/>
                </a:ext>
                <a:ext uri="{FF2B5EF4-FFF2-40B4-BE49-F238E27FC236}">
                  <a16:creationId xmlns:a16="http://schemas.microsoft.com/office/drawing/2014/main" id="{00000000-0008-0000-0800-000001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285750</xdr:colOff>
          <xdr:row>17</xdr:row>
          <xdr:rowOff>0</xdr:rowOff>
        </xdr:from>
        <xdr:to>
          <xdr:col>11</xdr:col>
          <xdr:colOff>412750</xdr:colOff>
          <xdr:row>18</xdr:row>
          <xdr:rowOff>12700</xdr:rowOff>
        </xdr:to>
        <xdr:sp macro="" textlink="">
          <xdr:nvSpPr>
            <xdr:cNvPr id="9217" name="CommandButton1" descr="Add A Row Command Button" hidden="1">
              <a:extLst>
                <a:ext uri="{63B3BB69-23CF-44E3-9099-C40C66FF867C}">
                  <a14:compatExt spid="_x0000_s9217"/>
                </a:ext>
                <a:ext uri="{FF2B5EF4-FFF2-40B4-BE49-F238E27FC236}">
                  <a16:creationId xmlns:a16="http://schemas.microsoft.com/office/drawing/2014/main" id="{00000000-0008-0000-0900-000001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304800</xdr:colOff>
          <xdr:row>16</xdr:row>
          <xdr:rowOff>266700</xdr:rowOff>
        </xdr:from>
        <xdr:to>
          <xdr:col>11</xdr:col>
          <xdr:colOff>431800</xdr:colOff>
          <xdr:row>18</xdr:row>
          <xdr:rowOff>6350</xdr:rowOff>
        </xdr:to>
        <xdr:sp macro="" textlink="">
          <xdr:nvSpPr>
            <xdr:cNvPr id="10241" name="CommandButton1" descr="Add A Row Command Button" hidden="1">
              <a:extLst>
                <a:ext uri="{63B3BB69-23CF-44E3-9099-C40C66FF867C}">
                  <a14:compatExt spid="_x0000_s10241"/>
                </a:ext>
                <a:ext uri="{FF2B5EF4-FFF2-40B4-BE49-F238E27FC236}">
                  <a16:creationId xmlns:a16="http://schemas.microsoft.com/office/drawing/2014/main" id="{00000000-0008-0000-0A00-00000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336550</xdr:colOff>
          <xdr:row>16</xdr:row>
          <xdr:rowOff>266700</xdr:rowOff>
        </xdr:from>
        <xdr:to>
          <xdr:col>11</xdr:col>
          <xdr:colOff>463550</xdr:colOff>
          <xdr:row>18</xdr:row>
          <xdr:rowOff>6350</xdr:rowOff>
        </xdr:to>
        <xdr:sp macro="" textlink="">
          <xdr:nvSpPr>
            <xdr:cNvPr id="11265" name="CommandButton1" descr="Add A Row Command Button" hidden="1">
              <a:extLst>
                <a:ext uri="{63B3BB69-23CF-44E3-9099-C40C66FF867C}">
                  <a14:compatExt spid="_x0000_s11265"/>
                </a:ext>
                <a:ext uri="{FF2B5EF4-FFF2-40B4-BE49-F238E27FC236}">
                  <a16:creationId xmlns:a16="http://schemas.microsoft.com/office/drawing/2014/main" id="{00000000-0008-0000-0B00-00000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279400</xdr:colOff>
          <xdr:row>28</xdr:row>
          <xdr:rowOff>266700</xdr:rowOff>
        </xdr:from>
        <xdr:to>
          <xdr:col>11</xdr:col>
          <xdr:colOff>406400</xdr:colOff>
          <xdr:row>30</xdr:row>
          <xdr:rowOff>6350</xdr:rowOff>
        </xdr:to>
        <xdr:sp macro="" textlink="">
          <xdr:nvSpPr>
            <xdr:cNvPr id="12289" name="CommandButton1" descr="Add A Row Command Button" hidden="1">
              <a:extLst>
                <a:ext uri="{63B3BB69-23CF-44E3-9099-C40C66FF867C}">
                  <a14:compatExt spid="_x0000_s12289"/>
                </a:ext>
                <a:ext uri="{FF2B5EF4-FFF2-40B4-BE49-F238E27FC236}">
                  <a16:creationId xmlns:a16="http://schemas.microsoft.com/office/drawing/2014/main" id="{00000000-0008-0000-0C00-0000013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285750</xdr:colOff>
          <xdr:row>28</xdr:row>
          <xdr:rowOff>266700</xdr:rowOff>
        </xdr:from>
        <xdr:to>
          <xdr:col>11</xdr:col>
          <xdr:colOff>412750</xdr:colOff>
          <xdr:row>30</xdr:row>
          <xdr:rowOff>6350</xdr:rowOff>
        </xdr:to>
        <xdr:sp macro="" textlink="">
          <xdr:nvSpPr>
            <xdr:cNvPr id="13313" name="CommandButton1" descr="Add A Row Command Button" hidden="1">
              <a:extLst>
                <a:ext uri="{63B3BB69-23CF-44E3-9099-C40C66FF867C}">
                  <a14:compatExt spid="_x0000_s13313"/>
                </a:ext>
                <a:ext uri="{FF2B5EF4-FFF2-40B4-BE49-F238E27FC236}">
                  <a16:creationId xmlns:a16="http://schemas.microsoft.com/office/drawing/2014/main" id="{00000000-0008-0000-0D00-000001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317500</xdr:colOff>
          <xdr:row>17</xdr:row>
          <xdr:rowOff>0</xdr:rowOff>
        </xdr:from>
        <xdr:to>
          <xdr:col>11</xdr:col>
          <xdr:colOff>444500</xdr:colOff>
          <xdr:row>18</xdr:row>
          <xdr:rowOff>12700</xdr:rowOff>
        </xdr:to>
        <xdr:sp macro="" textlink="">
          <xdr:nvSpPr>
            <xdr:cNvPr id="14337" name="CommandButton1" descr="Add A Row Command Button" hidden="1">
              <a:extLst>
                <a:ext uri="{63B3BB69-23CF-44E3-9099-C40C66FF867C}">
                  <a14:compatExt spid="_x0000_s14337"/>
                </a:ext>
                <a:ext uri="{FF2B5EF4-FFF2-40B4-BE49-F238E27FC236}">
                  <a16:creationId xmlns:a16="http://schemas.microsoft.com/office/drawing/2014/main" id="{00000000-0008-0000-0E00-0000013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304800</xdr:colOff>
          <xdr:row>16</xdr:row>
          <xdr:rowOff>266700</xdr:rowOff>
        </xdr:from>
        <xdr:to>
          <xdr:col>11</xdr:col>
          <xdr:colOff>431800</xdr:colOff>
          <xdr:row>18</xdr:row>
          <xdr:rowOff>6350</xdr:rowOff>
        </xdr:to>
        <xdr:sp macro="" textlink="">
          <xdr:nvSpPr>
            <xdr:cNvPr id="15361" name="CommandButton1" descr="Add A Row Command Button" hidden="1">
              <a:extLst>
                <a:ext uri="{63B3BB69-23CF-44E3-9099-C40C66FF867C}">
                  <a14:compatExt spid="_x0000_s15361"/>
                </a:ext>
                <a:ext uri="{FF2B5EF4-FFF2-40B4-BE49-F238E27FC236}">
                  <a16:creationId xmlns:a16="http://schemas.microsoft.com/office/drawing/2014/main" id="{00000000-0008-0000-0F00-0000013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298450</xdr:colOff>
          <xdr:row>28</xdr:row>
          <xdr:rowOff>266700</xdr:rowOff>
        </xdr:from>
        <xdr:to>
          <xdr:col>11</xdr:col>
          <xdr:colOff>425450</xdr:colOff>
          <xdr:row>30</xdr:row>
          <xdr:rowOff>6350</xdr:rowOff>
        </xdr:to>
        <xdr:sp macro="" textlink="">
          <xdr:nvSpPr>
            <xdr:cNvPr id="16385" name="CommandButton1" descr="Add A Row Command Button" hidden="1">
              <a:extLst>
                <a:ext uri="{63B3BB69-23CF-44E3-9099-C40C66FF867C}">
                  <a14:compatExt spid="_x0000_s16385"/>
                </a:ext>
                <a:ext uri="{FF2B5EF4-FFF2-40B4-BE49-F238E27FC236}">
                  <a16:creationId xmlns:a16="http://schemas.microsoft.com/office/drawing/2014/main" id="{00000000-0008-0000-1000-0000014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279400</xdr:colOff>
          <xdr:row>17</xdr:row>
          <xdr:rowOff>0</xdr:rowOff>
        </xdr:from>
        <xdr:to>
          <xdr:col>11</xdr:col>
          <xdr:colOff>406400</xdr:colOff>
          <xdr:row>18</xdr:row>
          <xdr:rowOff>12700</xdr:rowOff>
        </xdr:to>
        <xdr:sp macro="" textlink="">
          <xdr:nvSpPr>
            <xdr:cNvPr id="17409" name="CommandButton1" descr="Add A Row Command Button" hidden="1">
              <a:extLst>
                <a:ext uri="{63B3BB69-23CF-44E3-9099-C40C66FF867C}">
                  <a14:compatExt spid="_x0000_s17409"/>
                </a:ext>
                <a:ext uri="{FF2B5EF4-FFF2-40B4-BE49-F238E27FC236}">
                  <a16:creationId xmlns:a16="http://schemas.microsoft.com/office/drawing/2014/main" id="{00000000-0008-0000-1100-0000014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279400</xdr:colOff>
          <xdr:row>17</xdr:row>
          <xdr:rowOff>0</xdr:rowOff>
        </xdr:from>
        <xdr:to>
          <xdr:col>11</xdr:col>
          <xdr:colOff>406400</xdr:colOff>
          <xdr:row>18</xdr:row>
          <xdr:rowOff>12700</xdr:rowOff>
        </xdr:to>
        <xdr:sp macro="" textlink="">
          <xdr:nvSpPr>
            <xdr:cNvPr id="18433" name="CommandButton1" descr="Add A Row Command Button" hidden="1">
              <a:extLst>
                <a:ext uri="{63B3BB69-23CF-44E3-9099-C40C66FF867C}">
                  <a14:compatExt spid="_x0000_s18433"/>
                </a:ext>
                <a:ext uri="{FF2B5EF4-FFF2-40B4-BE49-F238E27FC236}">
                  <a16:creationId xmlns:a16="http://schemas.microsoft.com/office/drawing/2014/main" id="{00000000-0008-0000-1200-0000014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260350</xdr:colOff>
          <xdr:row>17</xdr:row>
          <xdr:rowOff>0</xdr:rowOff>
        </xdr:from>
        <xdr:to>
          <xdr:col>11</xdr:col>
          <xdr:colOff>387350</xdr:colOff>
          <xdr:row>18</xdr:row>
          <xdr:rowOff>12700</xdr:rowOff>
        </xdr:to>
        <xdr:sp macro="" textlink="">
          <xdr:nvSpPr>
            <xdr:cNvPr id="19457" name="CommandButton1" descr="Add A Row Command Button" hidden="1">
              <a:extLst>
                <a:ext uri="{63B3BB69-23CF-44E3-9099-C40C66FF867C}">
                  <a14:compatExt spid="_x0000_s19457"/>
                </a:ext>
                <a:ext uri="{FF2B5EF4-FFF2-40B4-BE49-F238E27FC236}">
                  <a16:creationId xmlns:a16="http://schemas.microsoft.com/office/drawing/2014/main" id="{00000000-0008-0000-1300-0000014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285750</xdr:colOff>
          <xdr:row>29</xdr:row>
          <xdr:rowOff>12700</xdr:rowOff>
        </xdr:from>
        <xdr:to>
          <xdr:col>11</xdr:col>
          <xdr:colOff>412750</xdr:colOff>
          <xdr:row>30</xdr:row>
          <xdr:rowOff>25400</xdr:rowOff>
        </xdr:to>
        <xdr:sp macro="" textlink="">
          <xdr:nvSpPr>
            <xdr:cNvPr id="20481" name="CommandButton1" descr="Add A Row Command Button" hidden="1">
              <a:extLst>
                <a:ext uri="{63B3BB69-23CF-44E3-9099-C40C66FF867C}">
                  <a14:compatExt spid="_x0000_s20481"/>
                </a:ext>
                <a:ext uri="{FF2B5EF4-FFF2-40B4-BE49-F238E27FC236}">
                  <a16:creationId xmlns:a16="http://schemas.microsoft.com/office/drawing/2014/main" id="{00000000-0008-0000-1400-0000015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279400</xdr:colOff>
          <xdr:row>29</xdr:row>
          <xdr:rowOff>12700</xdr:rowOff>
        </xdr:from>
        <xdr:to>
          <xdr:col>11</xdr:col>
          <xdr:colOff>406400</xdr:colOff>
          <xdr:row>30</xdr:row>
          <xdr:rowOff>25400</xdr:rowOff>
        </xdr:to>
        <xdr:sp macro="" textlink="">
          <xdr:nvSpPr>
            <xdr:cNvPr id="21505" name="CommandButton1" descr="Add A Row Command Button" hidden="1">
              <a:extLst>
                <a:ext uri="{63B3BB69-23CF-44E3-9099-C40C66FF867C}">
                  <a14:compatExt spid="_x0000_s21505"/>
                </a:ext>
                <a:ext uri="{FF2B5EF4-FFF2-40B4-BE49-F238E27FC236}">
                  <a16:creationId xmlns:a16="http://schemas.microsoft.com/office/drawing/2014/main" id="{00000000-0008-0000-1500-0000015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266700</xdr:colOff>
          <xdr:row>29</xdr:row>
          <xdr:rowOff>31750</xdr:rowOff>
        </xdr:from>
        <xdr:to>
          <xdr:col>11</xdr:col>
          <xdr:colOff>393700</xdr:colOff>
          <xdr:row>30</xdr:row>
          <xdr:rowOff>44450</xdr:rowOff>
        </xdr:to>
        <xdr:sp macro="" textlink="">
          <xdr:nvSpPr>
            <xdr:cNvPr id="22529" name="CommandButton1" descr="Add A Row Command Button" hidden="1">
              <a:extLst>
                <a:ext uri="{63B3BB69-23CF-44E3-9099-C40C66FF867C}">
                  <a14:compatExt spid="_x0000_s22529"/>
                </a:ext>
                <a:ext uri="{FF2B5EF4-FFF2-40B4-BE49-F238E27FC236}">
                  <a16:creationId xmlns:a16="http://schemas.microsoft.com/office/drawing/2014/main" id="{00000000-0008-0000-1600-0000015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266700</xdr:colOff>
          <xdr:row>29</xdr:row>
          <xdr:rowOff>12700</xdr:rowOff>
        </xdr:from>
        <xdr:to>
          <xdr:col>11</xdr:col>
          <xdr:colOff>393700</xdr:colOff>
          <xdr:row>30</xdr:row>
          <xdr:rowOff>25400</xdr:rowOff>
        </xdr:to>
        <xdr:sp macro="" textlink="">
          <xdr:nvSpPr>
            <xdr:cNvPr id="23553" name="CommandButton1" descr="Add A Row Command Button" hidden="1">
              <a:extLst>
                <a:ext uri="{63B3BB69-23CF-44E3-9099-C40C66FF867C}">
                  <a14:compatExt spid="_x0000_s23553"/>
                </a:ext>
                <a:ext uri="{FF2B5EF4-FFF2-40B4-BE49-F238E27FC236}">
                  <a16:creationId xmlns:a16="http://schemas.microsoft.com/office/drawing/2014/main" id="{00000000-0008-0000-1700-0000015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323850</xdr:colOff>
          <xdr:row>29</xdr:row>
          <xdr:rowOff>12700</xdr:rowOff>
        </xdr:from>
        <xdr:to>
          <xdr:col>11</xdr:col>
          <xdr:colOff>450850</xdr:colOff>
          <xdr:row>30</xdr:row>
          <xdr:rowOff>25400</xdr:rowOff>
        </xdr:to>
        <xdr:sp macro="" textlink="">
          <xdr:nvSpPr>
            <xdr:cNvPr id="24577" name="CommandButton1" descr="Add A Row Command Button" hidden="1">
              <a:extLst>
                <a:ext uri="{63B3BB69-23CF-44E3-9099-C40C66FF867C}">
                  <a14:compatExt spid="_x0000_s24577"/>
                </a:ext>
                <a:ext uri="{FF2B5EF4-FFF2-40B4-BE49-F238E27FC236}">
                  <a16:creationId xmlns:a16="http://schemas.microsoft.com/office/drawing/2014/main" id="{00000000-0008-0000-1800-0000016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260350</xdr:colOff>
          <xdr:row>29</xdr:row>
          <xdr:rowOff>12700</xdr:rowOff>
        </xdr:from>
        <xdr:to>
          <xdr:col>11</xdr:col>
          <xdr:colOff>387350</xdr:colOff>
          <xdr:row>30</xdr:row>
          <xdr:rowOff>25400</xdr:rowOff>
        </xdr:to>
        <xdr:sp macro="" textlink="">
          <xdr:nvSpPr>
            <xdr:cNvPr id="25601" name="CommandButton1" descr="Add A Row Command Button" hidden="1">
              <a:extLst>
                <a:ext uri="{63B3BB69-23CF-44E3-9099-C40C66FF867C}">
                  <a14:compatExt spid="_x0000_s25601"/>
                </a:ext>
                <a:ext uri="{FF2B5EF4-FFF2-40B4-BE49-F238E27FC236}">
                  <a16:creationId xmlns:a16="http://schemas.microsoft.com/office/drawing/2014/main" id="{00000000-0008-0000-1900-000001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298450</xdr:colOff>
          <xdr:row>29</xdr:row>
          <xdr:rowOff>0</xdr:rowOff>
        </xdr:from>
        <xdr:to>
          <xdr:col>11</xdr:col>
          <xdr:colOff>425450</xdr:colOff>
          <xdr:row>30</xdr:row>
          <xdr:rowOff>12700</xdr:rowOff>
        </xdr:to>
        <xdr:sp macro="" textlink="">
          <xdr:nvSpPr>
            <xdr:cNvPr id="26625" name="CommandButton1" descr="Add A Row Command Button" hidden="1">
              <a:extLst>
                <a:ext uri="{63B3BB69-23CF-44E3-9099-C40C66FF867C}">
                  <a14:compatExt spid="_x0000_s26625"/>
                </a:ext>
                <a:ext uri="{FF2B5EF4-FFF2-40B4-BE49-F238E27FC236}">
                  <a16:creationId xmlns:a16="http://schemas.microsoft.com/office/drawing/2014/main" id="{00000000-0008-0000-1A00-0000016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304800</xdr:colOff>
          <xdr:row>17</xdr:row>
          <xdr:rowOff>12700</xdr:rowOff>
        </xdr:from>
        <xdr:to>
          <xdr:col>11</xdr:col>
          <xdr:colOff>431800</xdr:colOff>
          <xdr:row>18</xdr:row>
          <xdr:rowOff>25400</xdr:rowOff>
        </xdr:to>
        <xdr:sp macro="" textlink="">
          <xdr:nvSpPr>
            <xdr:cNvPr id="27649" name="CommandButton1" descr="Add A Row Command Button" hidden="1">
              <a:extLst>
                <a:ext uri="{63B3BB69-23CF-44E3-9099-C40C66FF867C}">
                  <a14:compatExt spid="_x0000_s27649"/>
                </a:ext>
                <a:ext uri="{FF2B5EF4-FFF2-40B4-BE49-F238E27FC236}">
                  <a16:creationId xmlns:a16="http://schemas.microsoft.com/office/drawing/2014/main" id="{00000000-0008-0000-1B00-0000016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266700</xdr:colOff>
          <xdr:row>17</xdr:row>
          <xdr:rowOff>0</xdr:rowOff>
        </xdr:from>
        <xdr:to>
          <xdr:col>11</xdr:col>
          <xdr:colOff>393700</xdr:colOff>
          <xdr:row>18</xdr:row>
          <xdr:rowOff>12700</xdr:rowOff>
        </xdr:to>
        <xdr:sp macro="" textlink="">
          <xdr:nvSpPr>
            <xdr:cNvPr id="28673" name="CommandButton1" descr="Add A Row Command Button" hidden="1">
              <a:extLst>
                <a:ext uri="{63B3BB69-23CF-44E3-9099-C40C66FF867C}">
                  <a14:compatExt spid="_x0000_s28673"/>
                </a:ext>
                <a:ext uri="{FF2B5EF4-FFF2-40B4-BE49-F238E27FC236}">
                  <a16:creationId xmlns:a16="http://schemas.microsoft.com/office/drawing/2014/main" id="{00000000-0008-0000-1C00-0000017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266700</xdr:colOff>
          <xdr:row>16</xdr:row>
          <xdr:rowOff>266700</xdr:rowOff>
        </xdr:from>
        <xdr:to>
          <xdr:col>11</xdr:col>
          <xdr:colOff>393700</xdr:colOff>
          <xdr:row>18</xdr:row>
          <xdr:rowOff>6350</xdr:rowOff>
        </xdr:to>
        <xdr:sp macro="" textlink="">
          <xdr:nvSpPr>
            <xdr:cNvPr id="29697" name="CommandButton1" descr="Add A Row Command Button" hidden="1">
              <a:extLst>
                <a:ext uri="{63B3BB69-23CF-44E3-9099-C40C66FF867C}">
                  <a14:compatExt spid="_x0000_s29697"/>
                </a:ext>
                <a:ext uri="{FF2B5EF4-FFF2-40B4-BE49-F238E27FC236}">
                  <a16:creationId xmlns:a16="http://schemas.microsoft.com/office/drawing/2014/main" id="{00000000-0008-0000-1D00-0000017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5" Type="http://schemas.openxmlformats.org/officeDocument/2006/relationships/image" Target="../media/image2.emf"/><Relationship Id="rId4" Type="http://schemas.openxmlformats.org/officeDocument/2006/relationships/control" Target="../activeX/activeX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6.bin"/><Relationship Id="rId5" Type="http://schemas.openxmlformats.org/officeDocument/2006/relationships/image" Target="../media/image3.emf"/><Relationship Id="rId4" Type="http://schemas.openxmlformats.org/officeDocument/2006/relationships/control" Target="../activeX/activeX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7.bin"/><Relationship Id="rId5" Type="http://schemas.openxmlformats.org/officeDocument/2006/relationships/image" Target="../media/image4.emf"/><Relationship Id="rId4" Type="http://schemas.openxmlformats.org/officeDocument/2006/relationships/control" Target="../activeX/activeX3.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8.bin"/><Relationship Id="rId5" Type="http://schemas.openxmlformats.org/officeDocument/2006/relationships/image" Target="../media/image5.emf"/><Relationship Id="rId4" Type="http://schemas.openxmlformats.org/officeDocument/2006/relationships/control" Target="../activeX/activeX4.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9.bin"/><Relationship Id="rId5" Type="http://schemas.openxmlformats.org/officeDocument/2006/relationships/image" Target="../media/image6.emf"/><Relationship Id="rId4" Type="http://schemas.openxmlformats.org/officeDocument/2006/relationships/control" Target="../activeX/activeX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10.bin"/><Relationship Id="rId5" Type="http://schemas.openxmlformats.org/officeDocument/2006/relationships/image" Target="../media/image7.emf"/><Relationship Id="rId4" Type="http://schemas.openxmlformats.org/officeDocument/2006/relationships/control" Target="../activeX/activeX6.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11.bin"/><Relationship Id="rId5" Type="http://schemas.openxmlformats.org/officeDocument/2006/relationships/image" Target="../media/image8.emf"/><Relationship Id="rId4" Type="http://schemas.openxmlformats.org/officeDocument/2006/relationships/control" Target="../activeX/activeX7.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2.bin"/><Relationship Id="rId5" Type="http://schemas.openxmlformats.org/officeDocument/2006/relationships/image" Target="../media/image9.emf"/><Relationship Id="rId4" Type="http://schemas.openxmlformats.org/officeDocument/2006/relationships/control" Target="../activeX/activeX8.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3.bin"/><Relationship Id="rId5" Type="http://schemas.openxmlformats.org/officeDocument/2006/relationships/image" Target="../media/image10.emf"/><Relationship Id="rId4" Type="http://schemas.openxmlformats.org/officeDocument/2006/relationships/control" Target="../activeX/activeX9.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4.bin"/><Relationship Id="rId5" Type="http://schemas.openxmlformats.org/officeDocument/2006/relationships/image" Target="../media/image11.emf"/><Relationship Id="rId4" Type="http://schemas.openxmlformats.org/officeDocument/2006/relationships/control" Target="../activeX/activeX10.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5.bin"/><Relationship Id="rId5" Type="http://schemas.openxmlformats.org/officeDocument/2006/relationships/image" Target="../media/image12.emf"/><Relationship Id="rId4" Type="http://schemas.openxmlformats.org/officeDocument/2006/relationships/control" Target="../activeX/activeX11.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16.bin"/><Relationship Id="rId5" Type="http://schemas.openxmlformats.org/officeDocument/2006/relationships/image" Target="../media/image13.emf"/><Relationship Id="rId4" Type="http://schemas.openxmlformats.org/officeDocument/2006/relationships/control" Target="../activeX/activeX12.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17.bin"/><Relationship Id="rId5" Type="http://schemas.openxmlformats.org/officeDocument/2006/relationships/image" Target="../media/image14.emf"/><Relationship Id="rId4" Type="http://schemas.openxmlformats.org/officeDocument/2006/relationships/control" Target="../activeX/activeX13.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18.bin"/><Relationship Id="rId5" Type="http://schemas.openxmlformats.org/officeDocument/2006/relationships/image" Target="../media/image15.emf"/><Relationship Id="rId4" Type="http://schemas.openxmlformats.org/officeDocument/2006/relationships/control" Target="../activeX/activeX14.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6.xml"/><Relationship Id="rId1" Type="http://schemas.openxmlformats.org/officeDocument/2006/relationships/printerSettings" Target="../printerSettings/printerSettings19.bin"/><Relationship Id="rId5" Type="http://schemas.openxmlformats.org/officeDocument/2006/relationships/image" Target="../media/image16.emf"/><Relationship Id="rId4" Type="http://schemas.openxmlformats.org/officeDocument/2006/relationships/control" Target="../activeX/activeX15.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7.xml"/><Relationship Id="rId1" Type="http://schemas.openxmlformats.org/officeDocument/2006/relationships/printerSettings" Target="../printerSettings/printerSettings20.bin"/><Relationship Id="rId5" Type="http://schemas.openxmlformats.org/officeDocument/2006/relationships/image" Target="../media/image17.emf"/><Relationship Id="rId4" Type="http://schemas.openxmlformats.org/officeDocument/2006/relationships/control" Target="../activeX/activeX16.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8.xml"/><Relationship Id="rId1" Type="http://schemas.openxmlformats.org/officeDocument/2006/relationships/printerSettings" Target="../printerSettings/printerSettings21.bin"/><Relationship Id="rId5" Type="http://schemas.openxmlformats.org/officeDocument/2006/relationships/image" Target="../media/image18.emf"/><Relationship Id="rId4" Type="http://schemas.openxmlformats.org/officeDocument/2006/relationships/control" Target="../activeX/activeX17.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9.xml"/><Relationship Id="rId1" Type="http://schemas.openxmlformats.org/officeDocument/2006/relationships/printerSettings" Target="../printerSettings/printerSettings22.bin"/><Relationship Id="rId5" Type="http://schemas.openxmlformats.org/officeDocument/2006/relationships/image" Target="../media/image19.emf"/><Relationship Id="rId4" Type="http://schemas.openxmlformats.org/officeDocument/2006/relationships/control" Target="../activeX/activeX18.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0.xml"/><Relationship Id="rId1" Type="http://schemas.openxmlformats.org/officeDocument/2006/relationships/printerSettings" Target="../printerSettings/printerSettings23.bin"/><Relationship Id="rId5" Type="http://schemas.openxmlformats.org/officeDocument/2006/relationships/image" Target="../media/image20.emf"/><Relationship Id="rId4" Type="http://schemas.openxmlformats.org/officeDocument/2006/relationships/control" Target="../activeX/activeX19.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21.xml"/><Relationship Id="rId1" Type="http://schemas.openxmlformats.org/officeDocument/2006/relationships/printerSettings" Target="../printerSettings/printerSettings24.bin"/><Relationship Id="rId5" Type="http://schemas.openxmlformats.org/officeDocument/2006/relationships/image" Target="../media/image21.emf"/><Relationship Id="rId4" Type="http://schemas.openxmlformats.org/officeDocument/2006/relationships/control" Target="../activeX/activeX20.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22.xml"/><Relationship Id="rId1" Type="http://schemas.openxmlformats.org/officeDocument/2006/relationships/printerSettings" Target="../printerSettings/printerSettings25.bin"/><Relationship Id="rId5" Type="http://schemas.openxmlformats.org/officeDocument/2006/relationships/image" Target="../media/image22.emf"/><Relationship Id="rId4" Type="http://schemas.openxmlformats.org/officeDocument/2006/relationships/control" Target="../activeX/activeX21.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23.xml"/><Relationship Id="rId1" Type="http://schemas.openxmlformats.org/officeDocument/2006/relationships/printerSettings" Target="../printerSettings/printerSettings26.bin"/><Relationship Id="rId5" Type="http://schemas.openxmlformats.org/officeDocument/2006/relationships/image" Target="../media/image23.emf"/><Relationship Id="rId4" Type="http://schemas.openxmlformats.org/officeDocument/2006/relationships/control" Target="../activeX/activeX22.xml"/></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24.xml"/><Relationship Id="rId1" Type="http://schemas.openxmlformats.org/officeDocument/2006/relationships/printerSettings" Target="../printerSettings/printerSettings27.bin"/><Relationship Id="rId5" Type="http://schemas.openxmlformats.org/officeDocument/2006/relationships/image" Target="../media/image24.emf"/><Relationship Id="rId4" Type="http://schemas.openxmlformats.org/officeDocument/2006/relationships/control" Target="../activeX/activeX23.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25.xml"/><Relationship Id="rId1" Type="http://schemas.openxmlformats.org/officeDocument/2006/relationships/printerSettings" Target="../printerSettings/printerSettings28.bin"/><Relationship Id="rId5" Type="http://schemas.openxmlformats.org/officeDocument/2006/relationships/image" Target="../media/image25.emf"/><Relationship Id="rId4" Type="http://schemas.openxmlformats.org/officeDocument/2006/relationships/control" Target="../activeX/activeX24.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drawing" Target="../drawings/drawing26.xml"/><Relationship Id="rId1" Type="http://schemas.openxmlformats.org/officeDocument/2006/relationships/printerSettings" Target="../printerSettings/printerSettings29.bin"/><Relationship Id="rId5" Type="http://schemas.openxmlformats.org/officeDocument/2006/relationships/image" Target="../media/image26.emf"/><Relationship Id="rId4" Type="http://schemas.openxmlformats.org/officeDocument/2006/relationships/control" Target="../activeX/activeX25.xm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drawing" Target="../drawings/drawing27.xml"/><Relationship Id="rId1" Type="http://schemas.openxmlformats.org/officeDocument/2006/relationships/printerSettings" Target="../printerSettings/printerSettings30.bin"/><Relationship Id="rId5" Type="http://schemas.openxmlformats.org/officeDocument/2006/relationships/image" Target="../media/image27.emf"/><Relationship Id="rId4" Type="http://schemas.openxmlformats.org/officeDocument/2006/relationships/control" Target="../activeX/activeX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Z998"/>
  <sheetViews>
    <sheetView showGridLines="0" tabSelected="1" zoomScaleNormal="100" workbookViewId="0">
      <selection activeCell="C2" sqref="C2"/>
    </sheetView>
  </sheetViews>
  <sheetFormatPr defaultColWidth="11.23046875" defaultRowHeight="15" customHeight="1"/>
  <cols>
    <col min="1" max="1" width="14.53515625" customWidth="1"/>
    <col min="2" max="2" width="40.765625" customWidth="1"/>
    <col min="3" max="3" width="20.23046875" customWidth="1"/>
    <col min="4" max="4" width="23.07421875" customWidth="1"/>
    <col min="5" max="5" width="22.3046875" customWidth="1"/>
    <col min="6" max="26" width="9.765625" customWidth="1"/>
  </cols>
  <sheetData>
    <row r="1" spans="1:26" ht="33" customHeight="1" thickBot="1">
      <c r="A1" s="48"/>
      <c r="B1" s="355" t="s">
        <v>242</v>
      </c>
      <c r="C1" s="356"/>
      <c r="D1" s="356"/>
      <c r="E1" s="342" t="s">
        <v>267</v>
      </c>
      <c r="F1" s="1"/>
      <c r="G1" s="1"/>
      <c r="H1" s="1"/>
      <c r="I1" s="1"/>
      <c r="J1" s="1"/>
      <c r="K1" s="1"/>
      <c r="L1" s="1"/>
      <c r="M1" s="1"/>
      <c r="N1" s="1"/>
      <c r="O1" s="1"/>
      <c r="P1" s="1"/>
      <c r="Q1" s="1"/>
      <c r="R1" s="1"/>
      <c r="S1" s="1"/>
      <c r="T1" s="1"/>
      <c r="U1" s="1"/>
      <c r="V1" s="1"/>
      <c r="W1" s="1"/>
      <c r="X1" s="1"/>
      <c r="Y1" s="1"/>
      <c r="Z1" s="1"/>
    </row>
    <row r="2" spans="1:26" ht="23.25" customHeight="1" thickBot="1">
      <c r="A2" s="49"/>
      <c r="B2" s="50" t="s">
        <v>127</v>
      </c>
      <c r="C2" s="51" t="str">
        <f>IF(INPUT!$C$3=0,"-",INPUT!$C$3)</f>
        <v>RLP # 36C248-25-R-0110 – EXHIBIT K</v>
      </c>
      <c r="D2" s="52" t="s">
        <v>0</v>
      </c>
      <c r="E2" s="53">
        <f>INPUT!C7</f>
        <v>0</v>
      </c>
      <c r="F2" s="1"/>
      <c r="G2" s="1"/>
      <c r="H2" s="1"/>
      <c r="I2" s="1"/>
      <c r="J2" s="1"/>
      <c r="K2" s="1"/>
      <c r="L2" s="1"/>
      <c r="M2" s="1"/>
      <c r="N2" s="1"/>
      <c r="O2" s="1"/>
      <c r="P2" s="1"/>
      <c r="Q2" s="1"/>
      <c r="R2" s="1"/>
      <c r="S2" s="1"/>
      <c r="T2" s="1"/>
      <c r="U2" s="1"/>
      <c r="V2" s="1"/>
      <c r="W2" s="1"/>
      <c r="X2" s="1"/>
      <c r="Y2" s="1"/>
      <c r="Z2" s="1"/>
    </row>
    <row r="3" spans="1:26" ht="24.75" customHeight="1" thickBot="1">
      <c r="A3" s="54"/>
      <c r="B3" s="50" t="s">
        <v>1</v>
      </c>
      <c r="C3" s="51" t="str">
        <f>IF(INPUT!$C$4=0,"-",INPUT!$C$4)</f>
        <v>US Department of Veterans Affairs</v>
      </c>
      <c r="D3" s="55" t="s">
        <v>2</v>
      </c>
      <c r="E3" s="56">
        <f>+INPUT!$C$8</f>
        <v>0</v>
      </c>
      <c r="F3" s="1"/>
      <c r="G3" s="1"/>
      <c r="H3" s="1"/>
      <c r="I3" s="1"/>
      <c r="J3" s="1"/>
      <c r="K3" s="1"/>
      <c r="L3" s="1"/>
      <c r="M3" s="1"/>
      <c r="N3" s="1"/>
      <c r="O3" s="1"/>
      <c r="P3" s="1"/>
      <c r="Q3" s="1"/>
      <c r="R3" s="1"/>
      <c r="S3" s="1"/>
      <c r="T3" s="1"/>
      <c r="U3" s="1"/>
      <c r="V3" s="1"/>
      <c r="W3" s="1"/>
      <c r="X3" s="1"/>
      <c r="Y3" s="1"/>
      <c r="Z3" s="1"/>
    </row>
    <row r="4" spans="1:26" ht="26.25" customHeight="1" thickBot="1">
      <c r="A4" s="57" t="str">
        <f>IF(INPUT!$C$10=0,"",INPUT!$C$10)</f>
        <v/>
      </c>
      <c r="B4" s="58" t="s">
        <v>3</v>
      </c>
      <c r="C4" s="59" t="str">
        <f>IF(INPUT!$C$5=0,"-",INPUT!$C$5)</f>
        <v>Ceiba, Puerto Rico</v>
      </c>
      <c r="D4" s="60" t="s">
        <v>128</v>
      </c>
      <c r="E4" s="61">
        <f>E2*E3</f>
        <v>0</v>
      </c>
      <c r="F4" s="1"/>
      <c r="G4" s="1"/>
      <c r="H4" s="1"/>
      <c r="I4" s="1"/>
      <c r="J4" s="1"/>
      <c r="K4" s="1"/>
      <c r="L4" s="1"/>
      <c r="M4" s="1"/>
      <c r="N4" s="1"/>
      <c r="O4" s="1"/>
      <c r="P4" s="1"/>
      <c r="Q4" s="1"/>
      <c r="R4" s="1"/>
      <c r="S4" s="1"/>
      <c r="T4" s="1"/>
      <c r="U4" s="1"/>
      <c r="V4" s="1"/>
      <c r="W4" s="1"/>
      <c r="X4" s="1"/>
      <c r="Y4" s="1"/>
      <c r="Z4" s="1"/>
    </row>
    <row r="5" spans="1:26" ht="3.75" hidden="1" customHeight="1">
      <c r="A5" s="62"/>
      <c r="B5" s="63"/>
      <c r="C5" s="64"/>
      <c r="D5" s="1"/>
      <c r="E5" s="65"/>
      <c r="F5" s="1"/>
      <c r="G5" s="1"/>
      <c r="H5" s="1"/>
      <c r="I5" s="1"/>
      <c r="J5" s="1"/>
      <c r="K5" s="1"/>
      <c r="L5" s="1"/>
      <c r="M5" s="1"/>
      <c r="N5" s="1"/>
      <c r="O5" s="1"/>
      <c r="P5" s="1"/>
      <c r="Q5" s="1"/>
      <c r="R5" s="1"/>
      <c r="S5" s="1"/>
      <c r="T5" s="1"/>
      <c r="U5" s="1"/>
      <c r="V5" s="1"/>
      <c r="W5" s="1"/>
      <c r="X5" s="1"/>
      <c r="Y5" s="1"/>
      <c r="Z5" s="1"/>
    </row>
    <row r="6" spans="1:26" ht="27" customHeight="1" thickBot="1">
      <c r="A6" s="66"/>
      <c r="B6" s="67" t="s">
        <v>227</v>
      </c>
      <c r="C6" s="68" t="str">
        <f>IF(INPUT!C7=0,"-",(INPUT!C9-INPUT!C7)/INPUT!C7)</f>
        <v>-</v>
      </c>
      <c r="D6" s="60" t="s">
        <v>4</v>
      </c>
      <c r="E6" s="69">
        <f>INPUT!C9</f>
        <v>0</v>
      </c>
      <c r="F6" s="1"/>
      <c r="G6" s="1"/>
      <c r="H6" s="1"/>
      <c r="I6" s="1"/>
      <c r="J6" s="1"/>
      <c r="K6" s="1"/>
      <c r="L6" s="1"/>
      <c r="M6" s="1"/>
      <c r="N6" s="1"/>
      <c r="O6" s="1"/>
      <c r="P6" s="1"/>
      <c r="Q6" s="1"/>
      <c r="R6" s="1"/>
      <c r="S6" s="1"/>
      <c r="T6" s="1"/>
      <c r="U6" s="1"/>
      <c r="V6" s="1"/>
      <c r="W6" s="1"/>
      <c r="X6" s="1"/>
      <c r="Y6" s="1"/>
      <c r="Z6" s="1"/>
    </row>
    <row r="7" spans="1:26" ht="33" customHeight="1">
      <c r="A7" s="70" t="s">
        <v>5</v>
      </c>
      <c r="B7" s="71" t="s">
        <v>6</v>
      </c>
      <c r="C7" s="72"/>
      <c r="D7" s="73" t="s">
        <v>7</v>
      </c>
      <c r="E7" s="74" t="s">
        <v>8</v>
      </c>
      <c r="F7" s="2"/>
      <c r="G7" s="2"/>
      <c r="H7" s="2"/>
      <c r="I7" s="2"/>
      <c r="J7" s="2"/>
      <c r="K7" s="2"/>
      <c r="L7" s="2"/>
      <c r="M7" s="2"/>
      <c r="N7" s="2"/>
      <c r="O7" s="2"/>
      <c r="P7" s="2"/>
      <c r="Q7" s="2"/>
      <c r="R7" s="2"/>
      <c r="S7" s="2"/>
      <c r="T7" s="2"/>
      <c r="U7" s="2"/>
      <c r="V7" s="2"/>
      <c r="W7" s="2"/>
      <c r="X7" s="2"/>
      <c r="Y7" s="2"/>
      <c r="Z7" s="2"/>
    </row>
    <row r="8" spans="1:26" ht="15" customHeight="1">
      <c r="A8" s="75" t="s">
        <v>9</v>
      </c>
      <c r="B8" s="76" t="s">
        <v>10</v>
      </c>
      <c r="C8" s="77"/>
      <c r="D8" s="78">
        <f>'1'!I20</f>
        <v>0</v>
      </c>
      <c r="E8" s="79">
        <f>'1'!I38</f>
        <v>0</v>
      </c>
      <c r="F8" s="1"/>
      <c r="G8" s="80"/>
      <c r="H8" s="81"/>
      <c r="I8" s="1"/>
      <c r="J8" s="1"/>
      <c r="K8" s="1"/>
      <c r="L8" s="1"/>
      <c r="M8" s="1"/>
      <c r="N8" s="1"/>
      <c r="O8" s="1"/>
      <c r="P8" s="1"/>
      <c r="Q8" s="1"/>
      <c r="R8" s="1"/>
      <c r="S8" s="1"/>
      <c r="T8" s="1"/>
      <c r="U8" s="1"/>
      <c r="V8" s="1"/>
      <c r="W8" s="1"/>
      <c r="X8" s="1"/>
      <c r="Y8" s="1"/>
      <c r="Z8" s="1"/>
    </row>
    <row r="9" spans="1:26" ht="15" customHeight="1">
      <c r="A9" s="75" t="s">
        <v>11</v>
      </c>
      <c r="B9" s="76" t="s">
        <v>119</v>
      </c>
      <c r="C9" s="77"/>
      <c r="D9" s="78">
        <f>'2'!I21</f>
        <v>0</v>
      </c>
      <c r="E9" s="79">
        <f>'2'!I39</f>
        <v>0</v>
      </c>
      <c r="F9" s="1"/>
      <c r="G9" s="80"/>
      <c r="H9" s="81"/>
      <c r="I9" s="1"/>
      <c r="J9" s="1"/>
      <c r="K9" s="1"/>
      <c r="L9" s="1"/>
      <c r="M9" s="1"/>
      <c r="N9" s="1"/>
      <c r="O9" s="1"/>
      <c r="P9" s="1"/>
      <c r="Q9" s="1"/>
      <c r="R9" s="1"/>
      <c r="S9" s="1"/>
      <c r="T9" s="1"/>
      <c r="U9" s="1"/>
      <c r="V9" s="1"/>
      <c r="W9" s="1"/>
      <c r="X9" s="1"/>
      <c r="Y9" s="1"/>
      <c r="Z9" s="1"/>
    </row>
    <row r="10" spans="1:26" ht="15" customHeight="1">
      <c r="A10" s="75" t="s">
        <v>12</v>
      </c>
      <c r="B10" s="76" t="s">
        <v>13</v>
      </c>
      <c r="C10" s="77"/>
      <c r="D10" s="78">
        <f>'3'!I20</f>
        <v>0</v>
      </c>
      <c r="E10" s="79">
        <f>'3'!I38</f>
        <v>0</v>
      </c>
      <c r="F10" s="1"/>
      <c r="G10" s="80"/>
      <c r="H10" s="81"/>
      <c r="I10" s="1"/>
      <c r="J10" s="1"/>
      <c r="K10" s="1"/>
      <c r="L10" s="1"/>
      <c r="M10" s="1"/>
      <c r="N10" s="1"/>
      <c r="O10" s="1"/>
      <c r="P10" s="1"/>
      <c r="Q10" s="1"/>
      <c r="R10" s="1"/>
      <c r="S10" s="1"/>
      <c r="T10" s="1"/>
      <c r="U10" s="1"/>
      <c r="V10" s="1"/>
      <c r="W10" s="1"/>
      <c r="X10" s="1"/>
      <c r="Y10" s="1"/>
      <c r="Z10" s="1"/>
    </row>
    <row r="11" spans="1:26" ht="15" customHeight="1">
      <c r="A11" s="75" t="s">
        <v>14</v>
      </c>
      <c r="B11" s="76" t="s">
        <v>100</v>
      </c>
      <c r="C11" s="77"/>
      <c r="D11" s="78">
        <f>'4'!I20</f>
        <v>0</v>
      </c>
      <c r="E11" s="79">
        <f>'4'!I38</f>
        <v>0</v>
      </c>
      <c r="F11" s="1"/>
      <c r="G11" s="80"/>
      <c r="H11" s="81"/>
      <c r="I11" s="1"/>
      <c r="J11" s="1"/>
      <c r="K11" s="1"/>
      <c r="L11" s="1"/>
      <c r="M11" s="1"/>
      <c r="N11" s="1"/>
      <c r="O11" s="1"/>
      <c r="P11" s="1"/>
      <c r="Q11" s="1"/>
      <c r="R11" s="1"/>
      <c r="S11" s="1"/>
      <c r="T11" s="1"/>
      <c r="U11" s="1"/>
      <c r="V11" s="1"/>
      <c r="W11" s="1"/>
      <c r="X11" s="1"/>
      <c r="Y11" s="1"/>
      <c r="Z11" s="1"/>
    </row>
    <row r="12" spans="1:26" ht="15" customHeight="1">
      <c r="A12" s="75" t="s">
        <v>15</v>
      </c>
      <c r="B12" s="76" t="s">
        <v>16</v>
      </c>
      <c r="C12" s="77"/>
      <c r="D12" s="78">
        <f>'5'!I20</f>
        <v>0</v>
      </c>
      <c r="E12" s="79">
        <f>'5'!I38</f>
        <v>0</v>
      </c>
      <c r="F12" s="1"/>
      <c r="G12" s="80"/>
      <c r="H12" s="81"/>
      <c r="I12" s="1"/>
      <c r="J12" s="1"/>
      <c r="K12" s="1"/>
      <c r="L12" s="1"/>
      <c r="M12" s="1"/>
      <c r="N12" s="1"/>
      <c r="O12" s="1"/>
      <c r="P12" s="1"/>
      <c r="Q12" s="1"/>
      <c r="R12" s="1"/>
      <c r="S12" s="1"/>
      <c r="T12" s="1"/>
      <c r="U12" s="1"/>
      <c r="V12" s="1"/>
      <c r="W12" s="1"/>
      <c r="X12" s="1"/>
      <c r="Y12" s="1"/>
      <c r="Z12" s="1"/>
    </row>
    <row r="13" spans="1:26" ht="15" customHeight="1">
      <c r="A13" s="75" t="s">
        <v>17</v>
      </c>
      <c r="B13" s="76" t="s">
        <v>101</v>
      </c>
      <c r="C13" s="77"/>
      <c r="D13" s="78">
        <f>'6'!I20</f>
        <v>0</v>
      </c>
      <c r="E13" s="79">
        <f>'6'!I38</f>
        <v>0</v>
      </c>
      <c r="F13" s="1"/>
      <c r="G13" s="80"/>
      <c r="H13" s="81"/>
      <c r="I13" s="1"/>
      <c r="J13" s="1"/>
      <c r="K13" s="1"/>
      <c r="L13" s="1"/>
      <c r="M13" s="1"/>
      <c r="N13" s="1"/>
      <c r="O13" s="1"/>
      <c r="P13" s="1"/>
      <c r="Q13" s="1"/>
      <c r="R13" s="1"/>
      <c r="S13" s="1"/>
      <c r="T13" s="1"/>
      <c r="U13" s="1"/>
      <c r="V13" s="1"/>
      <c r="W13" s="1"/>
      <c r="X13" s="1"/>
      <c r="Y13" s="1"/>
      <c r="Z13" s="1"/>
    </row>
    <row r="14" spans="1:26" ht="15" customHeight="1">
      <c r="A14" s="75" t="s">
        <v>18</v>
      </c>
      <c r="B14" s="76" t="s">
        <v>102</v>
      </c>
      <c r="C14" s="77"/>
      <c r="D14" s="78">
        <f>'7'!I20</f>
        <v>0</v>
      </c>
      <c r="E14" s="79">
        <f>'7'!I38</f>
        <v>0</v>
      </c>
      <c r="F14" s="1"/>
      <c r="G14" s="80"/>
      <c r="H14" s="81"/>
      <c r="I14" s="1"/>
      <c r="J14" s="1"/>
      <c r="K14" s="1"/>
      <c r="L14" s="1"/>
      <c r="M14" s="1"/>
      <c r="N14" s="1"/>
      <c r="O14" s="1"/>
      <c r="P14" s="1"/>
      <c r="Q14" s="1"/>
      <c r="R14" s="1"/>
      <c r="S14" s="1"/>
      <c r="T14" s="1"/>
      <c r="U14" s="1"/>
      <c r="V14" s="1"/>
      <c r="W14" s="1"/>
      <c r="X14" s="1"/>
      <c r="Y14" s="1"/>
      <c r="Z14" s="1"/>
    </row>
    <row r="15" spans="1:26" ht="15" customHeight="1">
      <c r="A15" s="75" t="s">
        <v>19</v>
      </c>
      <c r="B15" s="76" t="s">
        <v>120</v>
      </c>
      <c r="C15" s="77"/>
      <c r="D15" s="78">
        <f>'8'!I32</f>
        <v>0</v>
      </c>
      <c r="E15" s="79">
        <f>'8'!I60</f>
        <v>0</v>
      </c>
      <c r="F15" s="1"/>
      <c r="G15" s="80"/>
      <c r="H15" s="81"/>
      <c r="I15" s="1"/>
      <c r="J15" s="1"/>
      <c r="K15" s="1"/>
      <c r="L15" s="1"/>
      <c r="M15" s="1"/>
      <c r="N15" s="1"/>
      <c r="O15" s="1"/>
      <c r="P15" s="1"/>
      <c r="Q15" s="1"/>
      <c r="R15" s="1"/>
      <c r="S15" s="1"/>
      <c r="T15" s="1"/>
      <c r="U15" s="1"/>
      <c r="V15" s="1"/>
      <c r="W15" s="1"/>
      <c r="X15" s="1"/>
      <c r="Y15" s="1"/>
      <c r="Z15" s="1"/>
    </row>
    <row r="16" spans="1:26" ht="15" customHeight="1">
      <c r="A16" s="75" t="s">
        <v>20</v>
      </c>
      <c r="B16" s="76" t="s">
        <v>21</v>
      </c>
      <c r="C16" s="77"/>
      <c r="D16" s="78">
        <f>'9'!I32</f>
        <v>0</v>
      </c>
      <c r="E16" s="79">
        <f>'9'!I60</f>
        <v>0</v>
      </c>
      <c r="F16" s="1"/>
      <c r="G16" s="80"/>
      <c r="H16" s="81"/>
      <c r="I16" s="1"/>
      <c r="J16" s="1"/>
      <c r="K16" s="1"/>
      <c r="L16" s="1"/>
      <c r="M16" s="1"/>
      <c r="N16" s="1"/>
      <c r="O16" s="1"/>
      <c r="P16" s="1"/>
      <c r="Q16" s="1"/>
      <c r="R16" s="1"/>
      <c r="S16" s="1"/>
      <c r="T16" s="1"/>
      <c r="U16" s="1"/>
      <c r="V16" s="1"/>
      <c r="W16" s="1"/>
      <c r="X16" s="1"/>
      <c r="Y16" s="1"/>
      <c r="Z16" s="1"/>
    </row>
    <row r="17" spans="1:26" ht="15" customHeight="1">
      <c r="A17" s="75" t="s">
        <v>22</v>
      </c>
      <c r="B17" s="76" t="s">
        <v>23</v>
      </c>
      <c r="C17" s="77"/>
      <c r="D17" s="78">
        <f>'10'!I20</f>
        <v>0</v>
      </c>
      <c r="E17" s="79">
        <f>'10'!I38</f>
        <v>0</v>
      </c>
      <c r="F17" s="1"/>
      <c r="G17" s="80"/>
      <c r="H17" s="81"/>
      <c r="I17" s="1"/>
      <c r="J17" s="1"/>
      <c r="K17" s="1"/>
      <c r="L17" s="1"/>
      <c r="M17" s="1"/>
      <c r="N17" s="1"/>
      <c r="O17" s="1"/>
      <c r="P17" s="1"/>
      <c r="Q17" s="1"/>
      <c r="R17" s="1"/>
      <c r="S17" s="1"/>
      <c r="T17" s="1"/>
      <c r="U17" s="1"/>
      <c r="V17" s="1"/>
      <c r="W17" s="1"/>
      <c r="X17" s="1"/>
      <c r="Y17" s="1"/>
      <c r="Z17" s="1"/>
    </row>
    <row r="18" spans="1:26" ht="15" customHeight="1">
      <c r="A18" s="75" t="s">
        <v>24</v>
      </c>
      <c r="B18" s="76" t="s">
        <v>25</v>
      </c>
      <c r="C18" s="77"/>
      <c r="D18" s="78">
        <f>'11'!I20</f>
        <v>0</v>
      </c>
      <c r="E18" s="79">
        <f>'11'!I38</f>
        <v>0</v>
      </c>
      <c r="F18" s="1"/>
      <c r="G18" s="80"/>
      <c r="H18" s="81"/>
      <c r="I18" s="1"/>
      <c r="J18" s="1"/>
      <c r="K18" s="1"/>
      <c r="L18" s="1"/>
      <c r="M18" s="1"/>
      <c r="N18" s="1"/>
      <c r="O18" s="1"/>
      <c r="P18" s="1"/>
      <c r="Q18" s="1"/>
      <c r="R18" s="1"/>
      <c r="S18" s="1"/>
      <c r="T18" s="1"/>
      <c r="U18" s="1"/>
      <c r="V18" s="1"/>
      <c r="W18" s="1"/>
      <c r="X18" s="1"/>
      <c r="Y18" s="1"/>
      <c r="Z18" s="1"/>
    </row>
    <row r="19" spans="1:26" ht="15" customHeight="1">
      <c r="A19" s="75" t="s">
        <v>26</v>
      </c>
      <c r="B19" s="76" t="s">
        <v>27</v>
      </c>
      <c r="C19" s="77"/>
      <c r="D19" s="78">
        <f>'12'!I32</f>
        <v>0</v>
      </c>
      <c r="E19" s="79">
        <f>'12'!I50</f>
        <v>0</v>
      </c>
      <c r="F19" s="1"/>
      <c r="G19" s="80"/>
      <c r="H19" s="81"/>
      <c r="I19" s="1"/>
      <c r="J19" s="1"/>
      <c r="K19" s="1"/>
      <c r="L19" s="1"/>
      <c r="M19" s="1"/>
      <c r="N19" s="1"/>
      <c r="O19" s="1"/>
      <c r="P19" s="1"/>
      <c r="Q19" s="1"/>
      <c r="R19" s="1"/>
      <c r="S19" s="1"/>
      <c r="T19" s="1"/>
      <c r="U19" s="1"/>
      <c r="V19" s="1"/>
      <c r="W19" s="1"/>
      <c r="X19" s="1"/>
      <c r="Y19" s="1"/>
      <c r="Z19" s="1"/>
    </row>
    <row r="20" spans="1:26" ht="15" customHeight="1">
      <c r="A20" s="75" t="s">
        <v>28</v>
      </c>
      <c r="B20" s="76" t="s">
        <v>29</v>
      </c>
      <c r="C20" s="77"/>
      <c r="D20" s="78">
        <f>'13'!I20</f>
        <v>0</v>
      </c>
      <c r="E20" s="79">
        <f>'13'!I38</f>
        <v>0</v>
      </c>
      <c r="F20" s="1"/>
      <c r="G20" s="80"/>
      <c r="H20" s="81"/>
      <c r="I20" s="1"/>
      <c r="J20" s="1"/>
      <c r="K20" s="1"/>
      <c r="L20" s="1"/>
      <c r="M20" s="1"/>
      <c r="N20" s="1"/>
      <c r="O20" s="1"/>
      <c r="P20" s="1"/>
      <c r="Q20" s="1"/>
      <c r="R20" s="1"/>
      <c r="S20" s="1"/>
      <c r="T20" s="1"/>
      <c r="U20" s="1"/>
      <c r="V20" s="1"/>
      <c r="W20" s="1"/>
      <c r="X20" s="1"/>
      <c r="Y20" s="1"/>
      <c r="Z20" s="1"/>
    </row>
    <row r="21" spans="1:26" ht="15" customHeight="1">
      <c r="A21" s="75" t="s">
        <v>30</v>
      </c>
      <c r="B21" s="76" t="s">
        <v>103</v>
      </c>
      <c r="C21" s="77"/>
      <c r="D21" s="78">
        <f>'14'!I20</f>
        <v>0</v>
      </c>
      <c r="E21" s="79">
        <f>'14'!I38</f>
        <v>0</v>
      </c>
      <c r="F21" s="1"/>
      <c r="G21" s="80"/>
      <c r="H21" s="81"/>
      <c r="I21" s="1"/>
      <c r="J21" s="1"/>
      <c r="K21" s="1"/>
      <c r="L21" s="1"/>
      <c r="M21" s="1"/>
      <c r="N21" s="1"/>
      <c r="O21" s="1"/>
      <c r="P21" s="1"/>
      <c r="Q21" s="1"/>
      <c r="R21" s="1"/>
      <c r="S21" s="1"/>
      <c r="T21" s="1"/>
      <c r="U21" s="1"/>
      <c r="V21" s="1"/>
      <c r="W21" s="1"/>
      <c r="X21" s="1"/>
      <c r="Y21" s="1"/>
      <c r="Z21" s="1"/>
    </row>
    <row r="22" spans="1:26" ht="15" customHeight="1">
      <c r="A22" s="75" t="s">
        <v>31</v>
      </c>
      <c r="B22" s="76" t="s">
        <v>32</v>
      </c>
      <c r="C22" s="77"/>
      <c r="D22" s="78">
        <f>'21'!I20</f>
        <v>0</v>
      </c>
      <c r="E22" s="79">
        <f>'21'!I38</f>
        <v>0</v>
      </c>
      <c r="F22" s="1"/>
      <c r="G22" s="80"/>
      <c r="H22" s="81"/>
      <c r="I22" s="1"/>
      <c r="J22" s="1"/>
      <c r="K22" s="1"/>
      <c r="L22" s="1"/>
      <c r="M22" s="1"/>
      <c r="N22" s="1"/>
      <c r="O22" s="1"/>
      <c r="P22" s="1"/>
      <c r="Q22" s="1"/>
      <c r="R22" s="1"/>
      <c r="S22" s="1"/>
      <c r="T22" s="1"/>
      <c r="U22" s="1"/>
      <c r="V22" s="1"/>
      <c r="W22" s="1"/>
      <c r="X22" s="1"/>
      <c r="Y22" s="1"/>
      <c r="Z22" s="1"/>
    </row>
    <row r="23" spans="1:26" ht="15" customHeight="1">
      <c r="A23" s="75" t="s">
        <v>33</v>
      </c>
      <c r="B23" s="76" t="s">
        <v>34</v>
      </c>
      <c r="C23" s="77"/>
      <c r="D23" s="78">
        <f>'22'!I32</f>
        <v>0</v>
      </c>
      <c r="E23" s="79">
        <f>'22'!I50</f>
        <v>0</v>
      </c>
      <c r="F23" s="1"/>
      <c r="G23" s="80"/>
      <c r="H23" s="81"/>
      <c r="I23" s="1"/>
      <c r="J23" s="1"/>
      <c r="K23" s="1"/>
      <c r="L23" s="1"/>
      <c r="M23" s="1"/>
      <c r="N23" s="1"/>
      <c r="O23" s="1"/>
      <c r="P23" s="1"/>
      <c r="Q23" s="1"/>
      <c r="R23" s="1"/>
      <c r="S23" s="1"/>
      <c r="T23" s="1"/>
      <c r="U23" s="1"/>
      <c r="V23" s="1"/>
      <c r="W23" s="1"/>
      <c r="X23" s="1"/>
      <c r="Y23" s="1"/>
      <c r="Z23" s="1"/>
    </row>
    <row r="24" spans="1:26" ht="15" customHeight="1">
      <c r="A24" s="75" t="s">
        <v>35</v>
      </c>
      <c r="B24" s="76" t="s">
        <v>104</v>
      </c>
      <c r="C24" s="77"/>
      <c r="D24" s="78">
        <f>'23'!I32</f>
        <v>0</v>
      </c>
      <c r="E24" s="79">
        <f>'23'!I50</f>
        <v>0</v>
      </c>
      <c r="F24" s="1"/>
      <c r="G24" s="80"/>
      <c r="H24" s="81"/>
      <c r="I24" s="1"/>
      <c r="J24" s="1"/>
      <c r="K24" s="1"/>
      <c r="L24" s="1"/>
      <c r="M24" s="1"/>
      <c r="N24" s="1"/>
      <c r="O24" s="1"/>
      <c r="P24" s="1"/>
      <c r="Q24" s="1"/>
      <c r="R24" s="1"/>
      <c r="S24" s="1"/>
      <c r="T24" s="1"/>
      <c r="U24" s="1"/>
      <c r="V24" s="1"/>
      <c r="W24" s="1"/>
      <c r="X24" s="1"/>
      <c r="Y24" s="1"/>
      <c r="Z24" s="1"/>
    </row>
    <row r="25" spans="1:26" ht="15" customHeight="1">
      <c r="A25" s="75" t="s">
        <v>36</v>
      </c>
      <c r="B25" s="82" t="s">
        <v>37</v>
      </c>
      <c r="C25" s="77"/>
      <c r="D25" s="78">
        <f>'26.1'!I32</f>
        <v>0</v>
      </c>
      <c r="E25" s="79">
        <f>'26.1'!I50</f>
        <v>0</v>
      </c>
      <c r="F25" s="1"/>
      <c r="G25" s="80"/>
      <c r="H25" s="80"/>
      <c r="I25" s="1"/>
      <c r="J25" s="1"/>
      <c r="K25" s="1"/>
      <c r="L25" s="1"/>
      <c r="M25" s="1"/>
      <c r="N25" s="1"/>
      <c r="O25" s="1"/>
      <c r="P25" s="1"/>
      <c r="Q25" s="1"/>
      <c r="R25" s="1"/>
      <c r="S25" s="1"/>
      <c r="T25" s="1"/>
      <c r="U25" s="1"/>
      <c r="V25" s="1"/>
      <c r="W25" s="1"/>
      <c r="X25" s="1"/>
      <c r="Y25" s="1"/>
      <c r="Z25" s="1"/>
    </row>
    <row r="26" spans="1:26" ht="15" customHeight="1">
      <c r="A26" s="75" t="s">
        <v>38</v>
      </c>
      <c r="B26" s="76" t="s">
        <v>39</v>
      </c>
      <c r="C26" s="77"/>
      <c r="D26" s="78">
        <f>'26.2'!I32</f>
        <v>0</v>
      </c>
      <c r="E26" s="79">
        <f>'26.2'!I50</f>
        <v>0</v>
      </c>
      <c r="F26" s="1"/>
      <c r="G26" s="80"/>
      <c r="H26" s="81"/>
      <c r="I26" s="1"/>
      <c r="J26" s="1"/>
      <c r="K26" s="1"/>
      <c r="L26" s="1"/>
      <c r="M26" s="1"/>
      <c r="N26" s="1"/>
      <c r="O26" s="1"/>
      <c r="P26" s="1"/>
      <c r="Q26" s="1"/>
      <c r="R26" s="1"/>
      <c r="S26" s="1"/>
      <c r="T26" s="1"/>
      <c r="U26" s="1"/>
      <c r="V26" s="1"/>
      <c r="W26" s="1"/>
      <c r="X26" s="1"/>
      <c r="Y26" s="1"/>
      <c r="Z26" s="1"/>
    </row>
    <row r="27" spans="1:26" ht="15" customHeight="1">
      <c r="A27" s="75" t="s">
        <v>40</v>
      </c>
      <c r="B27" s="76" t="s">
        <v>105</v>
      </c>
      <c r="C27" s="77"/>
      <c r="D27" s="78">
        <f>'27'!I32</f>
        <v>0</v>
      </c>
      <c r="E27" s="79">
        <f>'27'!I50</f>
        <v>0</v>
      </c>
      <c r="F27" s="1"/>
      <c r="G27" s="80"/>
      <c r="H27" s="81"/>
      <c r="I27" s="1"/>
      <c r="J27" s="1"/>
      <c r="K27" s="1"/>
      <c r="L27" s="1"/>
      <c r="M27" s="1"/>
      <c r="N27" s="1"/>
      <c r="O27" s="1"/>
      <c r="P27" s="1"/>
      <c r="Q27" s="1"/>
      <c r="R27" s="1"/>
      <c r="S27" s="1"/>
      <c r="T27" s="1"/>
      <c r="U27" s="1"/>
      <c r="V27" s="1"/>
      <c r="W27" s="1"/>
      <c r="X27" s="1"/>
      <c r="Y27" s="1"/>
      <c r="Z27" s="1"/>
    </row>
    <row r="28" spans="1:26" ht="15" customHeight="1">
      <c r="A28" s="75" t="s">
        <v>41</v>
      </c>
      <c r="B28" s="76" t="s">
        <v>121</v>
      </c>
      <c r="C28" s="77"/>
      <c r="D28" s="78">
        <f>'28.1'!I32</f>
        <v>0</v>
      </c>
      <c r="E28" s="79">
        <f>'28.1'!I50</f>
        <v>0</v>
      </c>
      <c r="F28" s="1"/>
      <c r="G28" s="80"/>
      <c r="H28" s="81"/>
      <c r="I28" s="1"/>
      <c r="J28" s="1"/>
      <c r="K28" s="1"/>
      <c r="L28" s="1"/>
      <c r="M28" s="1"/>
      <c r="N28" s="1"/>
      <c r="O28" s="1"/>
      <c r="P28" s="1"/>
      <c r="Q28" s="1"/>
      <c r="R28" s="1"/>
      <c r="S28" s="1"/>
      <c r="T28" s="1"/>
      <c r="U28" s="1"/>
      <c r="V28" s="1"/>
      <c r="W28" s="1"/>
      <c r="X28" s="1"/>
      <c r="Y28" s="1"/>
      <c r="Z28" s="1"/>
    </row>
    <row r="29" spans="1:26" ht="15" customHeight="1">
      <c r="A29" s="75" t="s">
        <v>42</v>
      </c>
      <c r="B29" s="76" t="s">
        <v>126</v>
      </c>
      <c r="C29" s="77"/>
      <c r="D29" s="78">
        <f>'28.2'!I32</f>
        <v>0</v>
      </c>
      <c r="E29" s="79">
        <f>'28.2'!I50</f>
        <v>0</v>
      </c>
      <c r="F29" s="1"/>
      <c r="G29" s="80"/>
      <c r="H29" s="81"/>
      <c r="I29" s="1"/>
      <c r="J29" s="1"/>
      <c r="K29" s="1"/>
      <c r="L29" s="1"/>
      <c r="M29" s="1"/>
      <c r="N29" s="1"/>
      <c r="O29" s="1"/>
      <c r="P29" s="1"/>
      <c r="Q29" s="1"/>
      <c r="R29" s="1"/>
      <c r="S29" s="1"/>
      <c r="T29" s="1"/>
      <c r="U29" s="1"/>
      <c r="V29" s="1"/>
      <c r="W29" s="1"/>
      <c r="X29" s="1"/>
      <c r="Y29" s="1"/>
      <c r="Z29" s="1"/>
    </row>
    <row r="30" spans="1:26" ht="15" customHeight="1">
      <c r="A30" s="75" t="s">
        <v>143</v>
      </c>
      <c r="B30" s="76" t="s">
        <v>145</v>
      </c>
      <c r="C30" s="77"/>
      <c r="D30" s="78">
        <f>'31'!I20</f>
        <v>0</v>
      </c>
      <c r="E30" s="79">
        <f>'31'!I38</f>
        <v>0</v>
      </c>
      <c r="F30" s="1"/>
      <c r="G30" s="80"/>
      <c r="H30" s="81"/>
      <c r="I30" s="1"/>
      <c r="J30" s="1"/>
      <c r="K30" s="1"/>
      <c r="L30" s="1"/>
      <c r="M30" s="1"/>
      <c r="N30" s="1"/>
      <c r="O30" s="1"/>
      <c r="P30" s="1"/>
      <c r="Q30" s="1"/>
      <c r="R30" s="1"/>
      <c r="S30" s="1"/>
      <c r="T30" s="1"/>
      <c r="U30" s="1"/>
      <c r="V30" s="1"/>
      <c r="W30" s="1"/>
      <c r="X30" s="1"/>
      <c r="Y30" s="1"/>
      <c r="Z30" s="1"/>
    </row>
    <row r="31" spans="1:26" ht="15" customHeight="1">
      <c r="A31" s="75" t="s">
        <v>43</v>
      </c>
      <c r="B31" s="76" t="s">
        <v>106</v>
      </c>
      <c r="C31" s="77"/>
      <c r="D31" s="78">
        <f>'32'!I20</f>
        <v>0</v>
      </c>
      <c r="E31" s="79">
        <f>'32'!I38</f>
        <v>0</v>
      </c>
      <c r="F31" s="1"/>
      <c r="G31" s="80"/>
      <c r="H31" s="81"/>
      <c r="I31" s="1"/>
      <c r="J31" s="1"/>
      <c r="K31" s="1"/>
      <c r="L31" s="1"/>
      <c r="M31" s="1"/>
      <c r="N31" s="1"/>
      <c r="O31" s="1"/>
      <c r="P31" s="1"/>
      <c r="Q31" s="1"/>
      <c r="R31" s="1"/>
      <c r="S31" s="1"/>
      <c r="T31" s="1"/>
      <c r="U31" s="1"/>
      <c r="V31" s="1"/>
      <c r="W31" s="1"/>
      <c r="X31" s="1"/>
      <c r="Y31" s="1"/>
      <c r="Z31" s="1"/>
    </row>
    <row r="32" spans="1:26" ht="15" customHeight="1">
      <c r="A32" s="75" t="s">
        <v>144</v>
      </c>
      <c r="B32" s="76" t="s">
        <v>146</v>
      </c>
      <c r="C32" s="77"/>
      <c r="D32" s="78">
        <f>'33'!I20</f>
        <v>0</v>
      </c>
      <c r="E32" s="79">
        <f>'33'!I38</f>
        <v>0</v>
      </c>
      <c r="F32" s="1"/>
      <c r="G32" s="80"/>
      <c r="H32" s="81"/>
      <c r="I32" s="1"/>
      <c r="J32" s="1"/>
      <c r="K32" s="1"/>
      <c r="L32" s="1"/>
      <c r="M32" s="1"/>
      <c r="N32" s="1"/>
      <c r="O32" s="1"/>
      <c r="P32" s="1"/>
      <c r="Q32" s="1"/>
      <c r="R32" s="1"/>
      <c r="S32" s="1"/>
      <c r="T32" s="1"/>
      <c r="U32" s="1"/>
      <c r="V32" s="1"/>
      <c r="W32" s="1"/>
      <c r="X32" s="1"/>
      <c r="Y32" s="1"/>
      <c r="Z32" s="1"/>
    </row>
    <row r="33" spans="1:26" ht="15.75" customHeight="1" thickBot="1">
      <c r="A33" s="287" t="s">
        <v>44</v>
      </c>
      <c r="B33" s="346" t="s">
        <v>45</v>
      </c>
      <c r="C33" s="347"/>
      <c r="D33" s="78">
        <f>SUM(D8:D32)</f>
        <v>0</v>
      </c>
      <c r="E33" s="79">
        <f>SUM(E8:E32)</f>
        <v>0</v>
      </c>
      <c r="F33" s="3"/>
      <c r="G33" s="3"/>
      <c r="H33" s="3"/>
      <c r="I33" s="3"/>
      <c r="J33" s="3"/>
      <c r="K33" s="3"/>
      <c r="L33" s="3"/>
      <c r="M33" s="3"/>
      <c r="N33" s="3"/>
      <c r="O33" s="3"/>
      <c r="P33" s="3"/>
      <c r="Q33" s="3"/>
      <c r="R33" s="3"/>
      <c r="S33" s="3"/>
      <c r="T33" s="3"/>
      <c r="U33" s="3"/>
      <c r="V33" s="3"/>
      <c r="W33" s="3"/>
      <c r="X33" s="3"/>
      <c r="Y33" s="3"/>
      <c r="Z33" s="3"/>
    </row>
    <row r="34" spans="1:26" ht="15.75" customHeight="1">
      <c r="A34" s="84"/>
      <c r="B34" s="85" t="s">
        <v>46</v>
      </c>
      <c r="C34" s="86" t="str">
        <f>IF(INPUT!$C$12 = "lump sum","Lump Sum",IF(INPUT!$C$12 = "percent","Percent",""))</f>
        <v>Percent</v>
      </c>
      <c r="D34" s="87">
        <f>IF(INPUT!C12="lump sum",INPUT!D12,IF(INPUT!C12="percent",INPUT!D12*D33,0))</f>
        <v>0</v>
      </c>
      <c r="E34" s="88">
        <f>IF(INPUT!C13="lump sum",INPUT!D13,IF(INPUT!C13="percent",INPUT!D13*E33,0))</f>
        <v>0</v>
      </c>
      <c r="F34" s="1"/>
      <c r="G34" s="93"/>
      <c r="H34" s="1"/>
      <c r="I34" s="1"/>
      <c r="J34" s="1"/>
      <c r="K34" s="1"/>
      <c r="L34" s="1"/>
      <c r="M34" s="1"/>
      <c r="N34" s="1"/>
      <c r="O34" s="1"/>
      <c r="P34" s="1"/>
      <c r="Q34" s="1"/>
      <c r="R34" s="1"/>
      <c r="S34" s="1"/>
      <c r="T34" s="1"/>
      <c r="U34" s="1"/>
      <c r="V34" s="1"/>
      <c r="W34" s="1"/>
      <c r="X34" s="1"/>
      <c r="Y34" s="1"/>
      <c r="Z34" s="1"/>
    </row>
    <row r="35" spans="1:26" ht="15.75" customHeight="1" thickBot="1">
      <c r="A35" s="83" t="s">
        <v>44</v>
      </c>
      <c r="B35" s="89" t="s">
        <v>47</v>
      </c>
      <c r="C35" s="90"/>
      <c r="D35" s="91">
        <f>D33+D34</f>
        <v>0</v>
      </c>
      <c r="E35" s="92">
        <f>E33+E34</f>
        <v>0</v>
      </c>
      <c r="F35" s="1"/>
      <c r="G35" s="1"/>
      <c r="H35" s="1"/>
      <c r="I35" s="1"/>
      <c r="J35" s="1"/>
      <c r="K35" s="1"/>
      <c r="L35" s="1"/>
      <c r="M35" s="1"/>
      <c r="N35" s="1"/>
      <c r="O35" s="1"/>
      <c r="P35" s="1"/>
      <c r="Q35" s="1"/>
      <c r="R35" s="1"/>
      <c r="S35" s="1"/>
      <c r="T35" s="1"/>
      <c r="U35" s="1"/>
      <c r="V35" s="1"/>
      <c r="W35" s="1"/>
      <c r="X35" s="1"/>
      <c r="Y35" s="1"/>
      <c r="Z35" s="1"/>
    </row>
    <row r="36" spans="1:26" ht="15.75" customHeight="1">
      <c r="A36" s="84"/>
      <c r="B36" s="85" t="s">
        <v>263</v>
      </c>
      <c r="C36" s="86" t="str">
        <f>IF(INPUT!$C$14 = "lump sum","Lump Sum",IF(INPUT!$C$14="percent","Percent",""))</f>
        <v>Percent</v>
      </c>
      <c r="D36" s="94">
        <f>IF(INPUT!C14="lump sum",INPUT!D14,IF(INPUT!C14="percent",D35*INPUT!D14,0))</f>
        <v>0</v>
      </c>
      <c r="E36" s="302">
        <f>IF(INPUT!C15="lump sum",INPUT!D15,IF(INPUT!C15="percent",E35*INPUT!D15,0))</f>
        <v>0</v>
      </c>
      <c r="F36" s="1"/>
      <c r="G36" s="1"/>
      <c r="H36" s="1"/>
      <c r="I36" s="1"/>
      <c r="J36" s="1"/>
      <c r="K36" s="1"/>
      <c r="L36" s="1"/>
      <c r="M36" s="1"/>
      <c r="N36" s="1"/>
      <c r="O36" s="1"/>
      <c r="P36" s="1"/>
      <c r="Q36" s="1"/>
      <c r="R36" s="1"/>
      <c r="S36" s="1"/>
      <c r="T36" s="1"/>
      <c r="U36" s="1"/>
      <c r="V36" s="1"/>
      <c r="W36" s="1"/>
      <c r="X36" s="1"/>
      <c r="Y36" s="1"/>
      <c r="Z36" s="1"/>
    </row>
    <row r="37" spans="1:26" ht="15.75" customHeight="1">
      <c r="A37" s="95"/>
      <c r="B37" s="96" t="s">
        <v>48</v>
      </c>
      <c r="C37" s="90"/>
      <c r="D37" s="97">
        <f>INPUT!$C$18</f>
        <v>0</v>
      </c>
      <c r="E37" s="301">
        <f>INPUT!$D$18</f>
        <v>0</v>
      </c>
      <c r="F37" s="1"/>
      <c r="G37" s="1"/>
      <c r="H37" s="1"/>
      <c r="I37" s="1"/>
      <c r="J37" s="1"/>
      <c r="K37" s="1"/>
      <c r="L37" s="1"/>
      <c r="M37" s="1"/>
      <c r="N37" s="1"/>
      <c r="O37" s="1"/>
      <c r="P37" s="1"/>
      <c r="Q37" s="1"/>
      <c r="R37" s="1"/>
      <c r="S37" s="1"/>
      <c r="T37" s="1"/>
      <c r="U37" s="1"/>
      <c r="V37" s="1"/>
      <c r="W37" s="1"/>
      <c r="X37" s="1"/>
      <c r="Y37" s="1"/>
      <c r="Z37" s="1"/>
    </row>
    <row r="38" spans="1:26" ht="15.75" customHeight="1" thickBot="1">
      <c r="A38" s="345" t="s">
        <v>44</v>
      </c>
      <c r="B38" s="96" t="s">
        <v>49</v>
      </c>
      <c r="C38" s="98"/>
      <c r="D38" s="99">
        <f>SUM(D35:D37)</f>
        <v>0</v>
      </c>
      <c r="E38" s="100">
        <f>SUM(E35:E37)</f>
        <v>0</v>
      </c>
      <c r="F38" s="1"/>
      <c r="G38" s="1"/>
      <c r="H38" s="1"/>
      <c r="I38" s="1"/>
      <c r="J38" s="1"/>
      <c r="K38" s="1"/>
      <c r="L38" s="1"/>
      <c r="M38" s="1"/>
      <c r="N38" s="1"/>
      <c r="O38" s="1"/>
      <c r="P38" s="1"/>
      <c r="Q38" s="1"/>
      <c r="R38" s="1"/>
      <c r="S38" s="1"/>
      <c r="T38" s="1"/>
      <c r="U38" s="1"/>
      <c r="V38" s="1"/>
      <c r="W38" s="1"/>
      <c r="X38" s="1"/>
      <c r="Y38" s="1"/>
      <c r="Z38" s="1"/>
    </row>
    <row r="39" spans="1:26" ht="15.75" customHeight="1">
      <c r="A39" s="344"/>
      <c r="B39" s="101" t="s">
        <v>50</v>
      </c>
      <c r="C39" s="86" t="str">
        <f>IF(INPUT!$C$16 = "percent","Percent","")</f>
        <v>Percent</v>
      </c>
      <c r="D39" s="102">
        <f>IF(INPUT!C16="lump sum",INPUT!$D$16,IF(INPUT!C16="percent",INPUT!$D$16*D35,0))</f>
        <v>0</v>
      </c>
      <c r="E39" s="103"/>
      <c r="F39" s="1"/>
      <c r="G39" s="1"/>
      <c r="H39" s="1"/>
      <c r="I39" s="1"/>
      <c r="J39" s="1"/>
      <c r="K39" s="1"/>
      <c r="L39" s="1"/>
      <c r="M39" s="1"/>
      <c r="N39" s="1"/>
      <c r="O39" s="1"/>
      <c r="P39" s="1"/>
      <c r="Q39" s="1"/>
      <c r="R39" s="1"/>
      <c r="S39" s="1"/>
      <c r="T39" s="1"/>
      <c r="U39" s="1"/>
      <c r="V39" s="1"/>
      <c r="W39" s="1"/>
      <c r="X39" s="1"/>
      <c r="Y39" s="1"/>
      <c r="Z39" s="1"/>
    </row>
    <row r="40" spans="1:26" ht="15.75" customHeight="1">
      <c r="A40" s="104" t="s">
        <v>51</v>
      </c>
      <c r="B40" s="105" t="s">
        <v>52</v>
      </c>
      <c r="C40" s="106" t="s">
        <v>53</v>
      </c>
      <c r="D40" s="107">
        <f>D38+D39</f>
        <v>0</v>
      </c>
      <c r="E40" s="108"/>
      <c r="F40" s="1"/>
      <c r="G40" s="1"/>
      <c r="H40" s="1"/>
      <c r="I40" s="1"/>
      <c r="J40" s="1"/>
      <c r="K40" s="1"/>
      <c r="L40" s="1"/>
      <c r="M40" s="1"/>
      <c r="N40" s="1"/>
      <c r="O40" s="1"/>
      <c r="P40" s="1"/>
      <c r="Q40" s="1"/>
      <c r="R40" s="1"/>
      <c r="S40" s="1"/>
      <c r="T40" s="1"/>
      <c r="U40" s="1"/>
      <c r="V40" s="1"/>
      <c r="W40" s="1"/>
      <c r="X40" s="1"/>
      <c r="Y40" s="1"/>
      <c r="Z40" s="1"/>
    </row>
    <row r="41" spans="1:26" ht="15.75" customHeight="1">
      <c r="A41" s="109"/>
      <c r="B41" s="110"/>
      <c r="C41" s="111" t="s">
        <v>54</v>
      </c>
      <c r="D41" s="329">
        <f>IF(E2=0,0,(D40/E2))</f>
        <v>0</v>
      </c>
      <c r="E41" s="331">
        <f>IF(E2=0,0,(E38/E2))</f>
        <v>0</v>
      </c>
      <c r="F41" s="1"/>
      <c r="G41" s="1"/>
      <c r="H41" s="1"/>
      <c r="I41" s="1"/>
      <c r="J41" s="1"/>
      <c r="K41" s="1"/>
      <c r="L41" s="1"/>
      <c r="M41" s="1"/>
      <c r="N41" s="1"/>
      <c r="O41" s="1"/>
      <c r="P41" s="1"/>
      <c r="Q41" s="1"/>
      <c r="R41" s="1"/>
      <c r="S41" s="1"/>
      <c r="T41" s="1"/>
      <c r="U41" s="1"/>
      <c r="V41" s="1"/>
      <c r="W41" s="1"/>
      <c r="X41" s="1"/>
      <c r="Y41" s="1"/>
      <c r="Z41" s="1"/>
    </row>
    <row r="42" spans="1:26" ht="15.75" customHeight="1">
      <c r="A42" s="112"/>
      <c r="B42" s="113"/>
      <c r="C42" s="114" t="s">
        <v>56</v>
      </c>
      <c r="D42" s="330">
        <f>IF(E6=0,0,(D40/E6))</f>
        <v>0</v>
      </c>
      <c r="E42" s="332">
        <f>IF(E6=0,0,(E38/E6))</f>
        <v>0</v>
      </c>
      <c r="F42" s="1"/>
      <c r="G42" s="1"/>
      <c r="H42" s="1"/>
      <c r="I42" s="1"/>
      <c r="J42" s="1"/>
      <c r="K42" s="1"/>
      <c r="L42" s="1"/>
      <c r="M42" s="1"/>
      <c r="N42" s="1"/>
      <c r="O42" s="1"/>
      <c r="P42" s="1"/>
      <c r="Q42" s="1"/>
      <c r="R42" s="1"/>
      <c r="S42" s="1"/>
      <c r="T42" s="1"/>
      <c r="U42" s="1"/>
      <c r="V42" s="1"/>
      <c r="W42" s="1"/>
      <c r="X42" s="1"/>
      <c r="Y42" s="1"/>
      <c r="Z42" s="1"/>
    </row>
    <row r="43" spans="1:26" ht="15.75" customHeight="1">
      <c r="A43" s="115"/>
      <c r="B43" s="116" t="s">
        <v>55</v>
      </c>
      <c r="C43" s="117"/>
      <c r="D43" s="118"/>
      <c r="E43" s="119"/>
      <c r="F43" s="1"/>
      <c r="G43" s="1"/>
      <c r="H43" s="1"/>
      <c r="I43" s="1"/>
      <c r="J43" s="1"/>
      <c r="K43" s="1"/>
      <c r="L43" s="1"/>
      <c r="M43" s="1"/>
      <c r="N43" s="1"/>
      <c r="O43" s="1"/>
      <c r="P43" s="1"/>
      <c r="Q43" s="1"/>
      <c r="R43" s="1"/>
      <c r="S43" s="1"/>
      <c r="T43" s="1"/>
      <c r="U43" s="1"/>
      <c r="V43" s="1"/>
      <c r="W43" s="1"/>
      <c r="X43" s="1"/>
      <c r="Y43" s="1"/>
      <c r="Z43" s="1"/>
    </row>
    <row r="44" spans="1:26" ht="18" customHeight="1">
      <c r="A44" s="120" t="s">
        <v>57</v>
      </c>
      <c r="B44" s="121" t="s">
        <v>58</v>
      </c>
      <c r="C44" s="121"/>
      <c r="D44" s="121"/>
      <c r="E44" s="122"/>
      <c r="F44" s="1"/>
      <c r="G44" s="1"/>
      <c r="H44" s="1"/>
      <c r="I44" s="1"/>
      <c r="J44" s="1"/>
      <c r="K44" s="1"/>
      <c r="L44" s="1"/>
      <c r="M44" s="1"/>
      <c r="N44" s="1"/>
      <c r="O44" s="1"/>
      <c r="P44" s="1"/>
      <c r="Q44" s="1"/>
      <c r="R44" s="1"/>
      <c r="S44" s="1"/>
      <c r="T44" s="1"/>
      <c r="U44" s="1"/>
      <c r="V44" s="1"/>
      <c r="W44" s="1"/>
      <c r="X44" s="1"/>
      <c r="Y44" s="1"/>
      <c r="Z44" s="1"/>
    </row>
    <row r="45" spans="1:26" ht="35.25" customHeight="1">
      <c r="A45" s="341" t="s">
        <v>59</v>
      </c>
      <c r="B45" s="353" t="s">
        <v>60</v>
      </c>
      <c r="C45" s="353"/>
      <c r="D45" s="353"/>
      <c r="E45" s="354"/>
      <c r="F45" s="1"/>
      <c r="G45" s="1"/>
      <c r="H45" s="1"/>
      <c r="I45" s="1"/>
      <c r="J45" s="1"/>
      <c r="K45" s="1"/>
      <c r="L45" s="1"/>
      <c r="M45" s="1"/>
      <c r="N45" s="1"/>
      <c r="O45" s="1"/>
      <c r="P45" s="1"/>
      <c r="Q45" s="1"/>
      <c r="R45" s="1"/>
      <c r="S45" s="1"/>
      <c r="T45" s="1"/>
      <c r="U45" s="1"/>
      <c r="V45" s="1"/>
      <c r="W45" s="1"/>
      <c r="X45" s="1"/>
      <c r="Y45" s="1"/>
      <c r="Z45" s="1"/>
    </row>
    <row r="46" spans="1:26" ht="24.75" customHeight="1" thickBot="1">
      <c r="A46" s="123" t="s">
        <v>264</v>
      </c>
      <c r="B46" s="348" t="s">
        <v>265</v>
      </c>
      <c r="C46" s="349"/>
      <c r="D46" s="349"/>
      <c r="E46" s="350"/>
      <c r="F46" s="1"/>
      <c r="G46" s="1"/>
      <c r="H46" s="1"/>
      <c r="I46" s="1"/>
      <c r="J46" s="1"/>
      <c r="K46" s="1"/>
      <c r="L46" s="1"/>
      <c r="M46" s="1"/>
      <c r="N46" s="1"/>
      <c r="O46" s="1"/>
      <c r="P46" s="1"/>
      <c r="Q46" s="1"/>
      <c r="R46" s="1"/>
      <c r="S46" s="1"/>
      <c r="T46" s="1"/>
      <c r="U46" s="1"/>
      <c r="V46" s="1"/>
      <c r="W46" s="1"/>
      <c r="X46" s="1"/>
      <c r="Y46" s="1"/>
      <c r="Z46" s="1"/>
    </row>
    <row r="47" spans="1:26" ht="15.75" customHeight="1" thickBot="1">
      <c r="A47" s="124"/>
      <c r="B47" s="351"/>
      <c r="C47" s="352"/>
      <c r="D47" s="352"/>
      <c r="E47" s="352"/>
      <c r="F47" s="1"/>
      <c r="G47" s="1"/>
      <c r="H47" s="1"/>
      <c r="I47" s="1"/>
      <c r="J47" s="1"/>
      <c r="K47" s="1"/>
      <c r="L47" s="1"/>
      <c r="M47" s="1"/>
      <c r="N47" s="1"/>
      <c r="O47" s="1"/>
      <c r="P47" s="1"/>
      <c r="Q47" s="1"/>
      <c r="R47" s="1"/>
      <c r="S47" s="1"/>
      <c r="T47" s="1"/>
      <c r="U47" s="1"/>
      <c r="V47" s="1"/>
      <c r="W47" s="1"/>
      <c r="X47" s="1"/>
      <c r="Y47" s="1"/>
      <c r="Z47" s="1"/>
    </row>
    <row r="48" spans="1:26" ht="25.5" customHeight="1" thickBot="1">
      <c r="A48" s="337"/>
      <c r="B48" s="338" t="s">
        <v>255</v>
      </c>
      <c r="C48" s="339"/>
      <c r="D48" s="340"/>
      <c r="E48" s="1"/>
      <c r="F48" s="1"/>
      <c r="G48" s="1"/>
      <c r="H48" s="1"/>
      <c r="I48" s="1"/>
      <c r="J48" s="1"/>
      <c r="K48" s="1"/>
      <c r="L48" s="1"/>
      <c r="M48" s="1"/>
      <c r="N48" s="1"/>
      <c r="O48" s="1"/>
      <c r="P48" s="1"/>
      <c r="Q48" s="1"/>
      <c r="R48" s="1"/>
      <c r="S48" s="1"/>
      <c r="T48" s="1"/>
      <c r="U48" s="1"/>
      <c r="V48" s="1"/>
      <c r="W48" s="1"/>
      <c r="X48" s="1"/>
      <c r="Y48" s="1"/>
      <c r="Z48" s="1"/>
    </row>
    <row r="49" spans="1:26" ht="15" customHeight="1">
      <c r="A49" s="315" t="s">
        <v>244</v>
      </c>
      <c r="B49" s="313" t="s">
        <v>253</v>
      </c>
      <c r="C49" s="314"/>
      <c r="D49" s="318">
        <f>IF(BSAC!F4="Itemized Costs",BSAC!I23,IF(BSAC!F4="Direct Input from Security Unit Price List",BSAC!F5,IF(BSAC!F4="N/A",0,0)))</f>
        <v>0</v>
      </c>
      <c r="E49" s="306"/>
    </row>
    <row r="50" spans="1:26" ht="15.75" customHeight="1">
      <c r="A50" s="316"/>
      <c r="B50" s="309" t="s">
        <v>251</v>
      </c>
      <c r="C50" s="310" t="str">
        <f>IF(INPUT!$C$14 = "lump sum","Lump Sum",IF(INPUT!$C$14="percent","Percent",""))</f>
        <v>Percent</v>
      </c>
      <c r="D50" s="333">
        <f>IF(C50="Percent",D49*INPUT!D14,IF(C50="Lump Sum","N/A - Include in TI",0))</f>
        <v>0</v>
      </c>
      <c r="E50" s="306"/>
      <c r="F50" s="1"/>
      <c r="G50" s="1"/>
      <c r="H50" s="1"/>
      <c r="I50" s="1"/>
      <c r="J50" s="1"/>
      <c r="K50" s="1"/>
      <c r="L50" s="1"/>
      <c r="M50" s="1"/>
      <c r="N50" s="1"/>
      <c r="O50" s="1"/>
      <c r="P50" s="1"/>
      <c r="Q50" s="1"/>
      <c r="R50" s="1"/>
      <c r="S50" s="1"/>
      <c r="T50" s="1"/>
      <c r="U50" s="1"/>
      <c r="V50" s="1"/>
      <c r="W50" s="1"/>
      <c r="X50" s="1"/>
      <c r="Y50" s="1"/>
      <c r="Z50" s="1"/>
    </row>
    <row r="51" spans="1:26" ht="15.75" customHeight="1" thickBot="1">
      <c r="A51" s="317"/>
      <c r="B51" s="311" t="s">
        <v>252</v>
      </c>
      <c r="C51" s="312" t="str">
        <f>IF(INPUT!$C$16 = "percent","Percent","")</f>
        <v>Percent</v>
      </c>
      <c r="D51" s="334">
        <f>D49*INPUT!D16</f>
        <v>0</v>
      </c>
      <c r="E51" s="307"/>
      <c r="F51" s="1"/>
      <c r="G51" s="1"/>
      <c r="H51" s="1"/>
      <c r="I51" s="1"/>
      <c r="J51" s="1"/>
      <c r="K51" s="1"/>
      <c r="L51" s="1"/>
      <c r="M51" s="1"/>
      <c r="N51" s="1"/>
      <c r="O51" s="1"/>
      <c r="P51" s="1"/>
      <c r="Q51" s="1"/>
      <c r="R51" s="1"/>
      <c r="S51" s="1"/>
      <c r="T51" s="1"/>
      <c r="U51" s="1"/>
      <c r="V51" s="1"/>
      <c r="W51" s="1"/>
      <c r="X51" s="1"/>
      <c r="Y51" s="1"/>
      <c r="Z51" s="1"/>
    </row>
    <row r="52" spans="1:26" ht="15.75" customHeight="1">
      <c r="A52" s="326" t="s">
        <v>51</v>
      </c>
      <c r="B52" s="324" t="s">
        <v>254</v>
      </c>
      <c r="C52" s="325" t="s">
        <v>79</v>
      </c>
      <c r="D52" s="335">
        <f>IF(AND(D50="N/A - Include in TI",D51="N/A - Include in TI"),D49,IF(D50="N/A - Include in TI",D49+D51,IF(D51="N/A - Include in TI",D49+D50,D49+D50+D51)))</f>
        <v>0</v>
      </c>
      <c r="E52" s="308"/>
      <c r="F52" s="1"/>
      <c r="G52" s="1"/>
      <c r="H52" s="1"/>
      <c r="I52" s="1"/>
      <c r="J52" s="1"/>
      <c r="K52" s="1"/>
      <c r="L52" s="1"/>
      <c r="M52" s="1"/>
      <c r="N52" s="1"/>
      <c r="O52" s="1"/>
      <c r="P52" s="1"/>
      <c r="Q52" s="1"/>
      <c r="R52" s="1"/>
      <c r="S52" s="1"/>
      <c r="T52" s="1"/>
      <c r="U52" s="1"/>
      <c r="V52" s="1"/>
      <c r="W52" s="1"/>
      <c r="X52" s="1"/>
      <c r="Y52" s="1"/>
      <c r="Z52" s="1"/>
    </row>
    <row r="53" spans="1:26" ht="15.75" customHeight="1">
      <c r="A53" s="315"/>
      <c r="B53" s="327"/>
      <c r="C53" s="111" t="s">
        <v>54</v>
      </c>
      <c r="D53" s="336">
        <f>IF(E2=0,0,(D52/E2))</f>
        <v>0</v>
      </c>
      <c r="E53" s="1"/>
      <c r="F53" s="1"/>
      <c r="G53" s="1"/>
      <c r="H53" s="1"/>
      <c r="I53" s="1"/>
      <c r="J53" s="1"/>
      <c r="K53" s="1"/>
      <c r="L53" s="1"/>
      <c r="M53" s="1"/>
      <c r="N53" s="1"/>
      <c r="O53" s="1"/>
      <c r="P53" s="1"/>
      <c r="Q53" s="1"/>
      <c r="R53" s="1"/>
      <c r="S53" s="1"/>
      <c r="T53" s="1"/>
      <c r="U53" s="1"/>
      <c r="V53" s="1"/>
      <c r="W53" s="1"/>
      <c r="X53" s="1"/>
      <c r="Y53" s="1"/>
      <c r="Z53" s="1"/>
    </row>
    <row r="54" spans="1:26" ht="15.75" customHeight="1" thickBot="1">
      <c r="A54" s="322"/>
      <c r="B54" s="328"/>
      <c r="C54" s="323" t="s">
        <v>56</v>
      </c>
      <c r="D54" s="334">
        <f>IF(E6=0,0,(D52/E6))</f>
        <v>0</v>
      </c>
      <c r="E54" s="1"/>
      <c r="F54" s="1"/>
      <c r="G54" s="1"/>
      <c r="H54" s="1"/>
      <c r="I54" s="1"/>
      <c r="J54" s="1"/>
      <c r="K54" s="1"/>
      <c r="L54" s="1"/>
      <c r="M54" s="1"/>
      <c r="N54" s="1"/>
      <c r="O54" s="1"/>
      <c r="P54" s="1"/>
      <c r="Q54" s="1"/>
      <c r="R54" s="1"/>
      <c r="S54" s="1"/>
      <c r="T54" s="1"/>
      <c r="U54" s="1"/>
      <c r="V54" s="1"/>
      <c r="W54" s="1"/>
      <c r="X54" s="1"/>
      <c r="Y54" s="1"/>
      <c r="Z54" s="1"/>
    </row>
    <row r="55" spans="1:26" ht="15.75" customHeight="1">
      <c r="A55" s="4"/>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4"/>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4"/>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4"/>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4"/>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4"/>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4"/>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4"/>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4"/>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4"/>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4"/>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4"/>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4"/>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4"/>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4"/>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4"/>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4"/>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4"/>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4"/>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4"/>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4"/>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4"/>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4"/>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4"/>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4"/>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4"/>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4"/>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4"/>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4"/>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4"/>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4"/>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4"/>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4"/>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4"/>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4"/>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4"/>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4"/>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4"/>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4"/>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4"/>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4"/>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4"/>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4"/>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4"/>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4"/>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4"/>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4"/>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4"/>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4"/>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4"/>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4"/>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4"/>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4"/>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4"/>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4"/>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4"/>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4"/>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4"/>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4"/>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4"/>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4"/>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4"/>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4"/>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4"/>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4"/>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4"/>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4"/>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4"/>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4"/>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4"/>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4"/>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4"/>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4"/>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4"/>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4"/>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4"/>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4"/>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4"/>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4"/>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4"/>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4"/>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4"/>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4"/>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4"/>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4"/>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4"/>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4"/>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4"/>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4"/>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4"/>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4"/>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4"/>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4"/>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4"/>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4"/>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4"/>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4"/>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4"/>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4"/>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4"/>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4"/>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4"/>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4"/>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4"/>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4"/>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4"/>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4"/>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4"/>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4"/>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4"/>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4"/>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4"/>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4"/>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4"/>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4"/>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4"/>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4"/>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4"/>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4"/>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4"/>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4"/>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4"/>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4"/>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4"/>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4"/>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4"/>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4"/>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4"/>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4"/>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4"/>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4"/>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4"/>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4"/>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4"/>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4"/>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4"/>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4"/>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4"/>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4"/>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4"/>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4"/>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4"/>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4"/>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4"/>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4"/>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4"/>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4"/>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4"/>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4"/>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4"/>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4"/>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4"/>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4"/>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4"/>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4"/>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4"/>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4"/>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4"/>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4"/>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4"/>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4"/>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4"/>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4"/>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4"/>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4"/>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4"/>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4"/>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4"/>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4"/>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4"/>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4"/>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4"/>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4"/>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4"/>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4"/>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4"/>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4"/>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4"/>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4"/>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4"/>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4"/>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4"/>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4"/>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4"/>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4"/>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4"/>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4"/>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4"/>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4"/>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4"/>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4"/>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4"/>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4"/>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4"/>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4"/>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4"/>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4"/>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4"/>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4"/>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4"/>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4"/>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4"/>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4"/>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4"/>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4"/>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4"/>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4"/>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4"/>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4"/>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4"/>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4"/>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4"/>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4"/>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4"/>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4"/>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4"/>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4"/>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4"/>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4"/>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4"/>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4"/>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4"/>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4"/>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4"/>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4"/>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4"/>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4"/>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4"/>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4"/>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4"/>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4"/>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4"/>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4"/>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4"/>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4"/>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4"/>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4"/>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4"/>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4"/>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4"/>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4"/>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4"/>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4"/>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4"/>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4"/>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4"/>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4"/>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4"/>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4"/>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4"/>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4"/>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4"/>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4"/>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4"/>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4"/>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4"/>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4"/>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4"/>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4"/>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4"/>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4"/>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4"/>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4"/>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4"/>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4"/>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4"/>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4"/>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4"/>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4"/>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4"/>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4"/>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4"/>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4"/>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4"/>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4"/>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4"/>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4"/>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4"/>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4"/>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4"/>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4"/>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4"/>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4"/>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4"/>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4"/>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4"/>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4"/>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4"/>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4"/>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4"/>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4"/>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4"/>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4"/>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4"/>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4"/>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4"/>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4"/>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4"/>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4"/>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4"/>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4"/>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4"/>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4"/>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4"/>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4"/>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4"/>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4"/>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4"/>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4"/>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4"/>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4"/>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4"/>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4"/>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4"/>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4"/>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4"/>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4"/>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4"/>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4"/>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4"/>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4"/>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4"/>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4"/>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4"/>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4"/>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4"/>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4"/>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4"/>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4"/>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4"/>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4"/>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4"/>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4"/>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4"/>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4"/>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4"/>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4"/>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4"/>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4"/>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4"/>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4"/>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4"/>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4"/>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4"/>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4"/>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4"/>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4"/>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4"/>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4"/>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4"/>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4"/>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4"/>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4"/>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4"/>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4"/>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4"/>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4"/>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4"/>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4"/>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4"/>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4"/>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4"/>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4"/>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4"/>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4"/>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4"/>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4"/>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4"/>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4"/>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4"/>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4"/>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4"/>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4"/>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4"/>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4"/>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4"/>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4"/>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4"/>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4"/>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4"/>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4"/>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4"/>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4"/>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4"/>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4"/>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4"/>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4"/>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4"/>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4"/>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4"/>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4"/>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4"/>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4"/>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4"/>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4"/>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4"/>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4"/>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4"/>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4"/>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4"/>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4"/>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4"/>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4"/>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4"/>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4"/>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4"/>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4"/>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4"/>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4"/>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4"/>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4"/>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4"/>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4"/>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4"/>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4"/>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4"/>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4"/>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4"/>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4"/>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4"/>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4"/>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4"/>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4"/>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4"/>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4"/>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4"/>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4"/>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4"/>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4"/>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4"/>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4"/>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4"/>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4"/>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4"/>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4"/>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4"/>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4"/>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4"/>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4"/>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4"/>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4"/>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4"/>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4"/>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4"/>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4"/>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4"/>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4"/>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4"/>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4"/>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4"/>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4"/>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4"/>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4"/>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4"/>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4"/>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4"/>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4"/>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4"/>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4"/>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4"/>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4"/>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4"/>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4"/>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4"/>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4"/>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4"/>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4"/>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4"/>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4"/>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4"/>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4"/>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4"/>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4"/>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4"/>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4"/>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4"/>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4"/>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4"/>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4"/>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4"/>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4"/>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4"/>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4"/>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4"/>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4"/>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4"/>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4"/>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4"/>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4"/>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4"/>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4"/>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4"/>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4"/>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4"/>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4"/>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4"/>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4"/>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4"/>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4"/>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4"/>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4"/>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4"/>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4"/>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4"/>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4"/>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4"/>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4"/>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4"/>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4"/>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4"/>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4"/>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4"/>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4"/>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4"/>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4"/>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4"/>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4"/>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4"/>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4"/>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4"/>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4"/>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4"/>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4"/>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4"/>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4"/>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4"/>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4"/>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4"/>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4"/>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4"/>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4"/>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4"/>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4"/>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4"/>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4"/>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4"/>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4"/>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4"/>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4"/>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4"/>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4"/>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4"/>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4"/>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4"/>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4"/>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4"/>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4"/>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4"/>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4"/>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4"/>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4"/>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4"/>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4"/>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4"/>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4"/>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4"/>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4"/>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4"/>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4"/>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4"/>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4"/>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4"/>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4"/>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4"/>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4"/>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4"/>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4"/>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4"/>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4"/>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4"/>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4"/>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4"/>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4"/>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4"/>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4"/>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4"/>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4"/>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4"/>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4"/>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4"/>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4"/>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4"/>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4"/>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4"/>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4"/>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4"/>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4"/>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4"/>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4"/>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4"/>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4"/>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4"/>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4"/>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4"/>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4"/>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4"/>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4"/>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4"/>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4"/>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4"/>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4"/>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4"/>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4"/>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4"/>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4"/>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4"/>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4"/>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4"/>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4"/>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4"/>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4"/>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4"/>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4"/>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4"/>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4"/>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4"/>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4"/>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4"/>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4"/>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4"/>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4"/>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4"/>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4"/>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4"/>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4"/>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4"/>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4"/>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4"/>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4"/>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4"/>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4"/>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4"/>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4"/>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4"/>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4"/>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4"/>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4"/>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4"/>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4"/>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4"/>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4"/>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4"/>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4"/>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4"/>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4"/>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4"/>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4"/>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4"/>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4"/>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4"/>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4"/>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4"/>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4"/>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4"/>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4"/>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4"/>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4"/>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4"/>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4"/>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4"/>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4"/>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4"/>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4"/>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4"/>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4"/>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4"/>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4"/>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4"/>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4"/>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4"/>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4"/>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4"/>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4"/>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4"/>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4"/>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4"/>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4"/>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4"/>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4"/>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4"/>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4"/>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4"/>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4"/>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4"/>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4"/>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4"/>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4"/>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4"/>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4"/>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4"/>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4"/>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4"/>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4"/>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4"/>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4"/>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4"/>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4"/>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4"/>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4"/>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4"/>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4"/>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4"/>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4"/>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4"/>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4"/>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4"/>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4"/>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4"/>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4"/>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4"/>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4"/>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4"/>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4"/>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4"/>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4"/>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4"/>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4"/>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4"/>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4"/>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4"/>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4"/>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4"/>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4"/>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4"/>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4"/>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4"/>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4"/>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4"/>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4"/>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4"/>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4"/>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4"/>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4"/>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4"/>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4"/>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4"/>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4"/>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4"/>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4"/>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4"/>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4"/>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4"/>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4"/>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4"/>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4"/>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4"/>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4"/>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4"/>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4"/>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4"/>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4"/>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4"/>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4"/>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4"/>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4"/>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4"/>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4"/>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4"/>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4"/>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4"/>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4"/>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4"/>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4"/>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4"/>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4"/>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4"/>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4"/>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4"/>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4"/>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4"/>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4"/>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4"/>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4"/>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4"/>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4"/>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4"/>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4"/>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4"/>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4"/>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4"/>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4"/>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4"/>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4"/>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4"/>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4"/>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4"/>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4"/>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4"/>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4"/>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4"/>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4"/>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4"/>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4"/>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4"/>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4"/>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4"/>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4"/>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4"/>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4"/>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4"/>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4"/>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4"/>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4"/>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4"/>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4"/>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4"/>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4"/>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4"/>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4"/>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4"/>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4"/>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4"/>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4"/>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4"/>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4"/>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4"/>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4"/>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4"/>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4"/>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4"/>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4"/>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4"/>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4"/>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4"/>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4"/>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4"/>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4"/>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4"/>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4"/>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4"/>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4"/>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4"/>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4"/>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4"/>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4"/>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4"/>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4"/>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4"/>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4"/>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4"/>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4"/>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4"/>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4"/>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4"/>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4"/>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4"/>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4"/>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4"/>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4"/>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4"/>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4"/>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4"/>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4"/>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4"/>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4"/>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4"/>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4"/>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4"/>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4"/>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4"/>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4"/>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4"/>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4"/>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4"/>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4"/>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4"/>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4"/>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4"/>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4"/>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4"/>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4"/>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4"/>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4"/>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4"/>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4"/>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4"/>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4"/>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4"/>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4"/>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4"/>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4"/>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4"/>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4"/>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4"/>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4"/>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4"/>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4"/>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4"/>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4"/>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4"/>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4"/>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4"/>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4"/>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4"/>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4"/>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4"/>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4"/>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4"/>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4"/>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4"/>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4"/>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4"/>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4"/>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4"/>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4"/>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4"/>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4"/>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4"/>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4"/>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4"/>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4"/>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4"/>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4"/>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4"/>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4"/>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4"/>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4"/>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4"/>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4"/>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4"/>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4"/>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4"/>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4"/>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4"/>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4"/>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4"/>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4"/>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4"/>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4"/>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4"/>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4"/>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4"/>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4"/>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4"/>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4"/>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4"/>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4"/>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4"/>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4"/>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4"/>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4"/>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4"/>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4"/>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 customHeight="1">
      <c r="A998" s="4"/>
      <c r="B998" s="1"/>
      <c r="C998" s="1"/>
      <c r="D998" s="1"/>
      <c r="E998" s="1"/>
    </row>
  </sheetData>
  <sheetProtection algorithmName="SHA-512" hashValue="lTdIK5mVSls2az6it9MV3rHv5rHyIF28HcP1+pxwXqQtuSO9GfLPH2pALDPOJUtucLSsdqRBW0/PARZON/eSrg==" saltValue="FsIwKxPt4DHxfOBk5KKwYQ==" spinCount="100000" sheet="1" insertRows="0"/>
  <mergeCells count="5">
    <mergeCell ref="B33:C33"/>
    <mergeCell ref="B46:E46"/>
    <mergeCell ref="B47:E47"/>
    <mergeCell ref="B45:E45"/>
    <mergeCell ref="B1:D1"/>
  </mergeCells>
  <conditionalFormatting sqref="A4">
    <cfRule type="expression" dxfId="44" priority="1" stopIfTrue="1">
      <formula>"MM/DD/YY"</formula>
    </cfRule>
  </conditionalFormatting>
  <printOptions horizontalCentered="1"/>
  <pageMargins left="0.42" right="0.75" top="1" bottom="1" header="0" footer="0"/>
  <pageSetup scale="59" orientation="landscape" cellComments="atEnd" r:id="rId1"/>
  <headerFooter>
    <oddFooter>&amp;LPage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I1004"/>
  <sheetViews>
    <sheetView zoomScaleNormal="100" workbookViewId="0">
      <selection sqref="A1:I1"/>
    </sheetView>
  </sheetViews>
  <sheetFormatPr defaultColWidth="11.23046875" defaultRowHeight="15" customHeight="1"/>
  <cols>
    <col min="1" max="1" width="3.23046875" customWidth="1"/>
    <col min="2" max="2" width="10.23046875" customWidth="1"/>
    <col min="3" max="3" width="6.84375" customWidth="1"/>
    <col min="4" max="5" width="9" customWidth="1"/>
    <col min="6" max="6" width="16" customWidth="1"/>
    <col min="7" max="8" width="8.53515625" customWidth="1"/>
    <col min="9" max="9" width="13.4609375" customWidth="1"/>
    <col min="10" max="26" width="8.53515625" customWidth="1"/>
  </cols>
  <sheetData>
    <row r="1" spans="1:9" ht="44.5" customHeight="1">
      <c r="A1" s="357" t="s">
        <v>80</v>
      </c>
      <c r="B1" s="358"/>
      <c r="C1" s="358"/>
      <c r="D1" s="358"/>
      <c r="E1" s="358"/>
      <c r="F1" s="358"/>
      <c r="G1" s="358"/>
      <c r="H1" s="358"/>
      <c r="I1" s="359"/>
    </row>
    <row r="2" spans="1:9" ht="29.15" customHeight="1" thickBot="1">
      <c r="A2" s="125"/>
      <c r="B2" s="271" t="s">
        <v>223</v>
      </c>
      <c r="C2" s="126"/>
      <c r="D2" s="126"/>
      <c r="E2" s="126"/>
      <c r="F2" s="126"/>
      <c r="G2" s="126"/>
      <c r="H2" s="126"/>
      <c r="I2" s="127"/>
    </row>
    <row r="3" spans="1:9" ht="93" customHeight="1" thickBot="1">
      <c r="A3" s="128"/>
      <c r="B3" s="366" t="s">
        <v>224</v>
      </c>
      <c r="C3" s="366"/>
      <c r="D3" s="366"/>
      <c r="E3" s="366"/>
      <c r="F3" s="366"/>
      <c r="G3" s="366"/>
      <c r="H3" s="366"/>
      <c r="I3" s="367"/>
    </row>
    <row r="4" spans="1:9" ht="46" customHeight="1" thickBot="1">
      <c r="A4" s="129"/>
      <c r="B4" s="368" t="s">
        <v>81</v>
      </c>
      <c r="C4" s="368"/>
      <c r="D4" s="368"/>
      <c r="E4" s="368"/>
      <c r="F4" s="368"/>
      <c r="G4" s="368"/>
      <c r="H4" s="368"/>
      <c r="I4" s="369"/>
    </row>
    <row r="5" spans="1:9" ht="16" thickBot="1">
      <c r="A5" s="130" t="s">
        <v>82</v>
      </c>
      <c r="B5" s="131"/>
      <c r="C5" s="132"/>
      <c r="D5" s="131"/>
      <c r="E5" s="131"/>
      <c r="F5" s="131"/>
      <c r="G5" s="131"/>
      <c r="H5" s="131"/>
      <c r="I5" s="133"/>
    </row>
    <row r="6" spans="1:9" ht="16" thickBot="1">
      <c r="A6" s="134" t="s">
        <v>117</v>
      </c>
      <c r="B6" s="135"/>
      <c r="C6" s="136" t="s">
        <v>118</v>
      </c>
      <c r="D6" s="136"/>
      <c r="E6" s="136"/>
      <c r="F6" s="136"/>
      <c r="G6" s="137"/>
      <c r="H6" s="137"/>
      <c r="I6" s="138"/>
    </row>
    <row r="7" spans="1:9" ht="16" thickBot="1">
      <c r="A7" s="134" t="s">
        <v>115</v>
      </c>
      <c r="B7" s="135"/>
      <c r="C7" s="136" t="s">
        <v>116</v>
      </c>
      <c r="D7" s="136"/>
      <c r="E7" s="136"/>
      <c r="F7" s="136"/>
      <c r="G7" s="137"/>
      <c r="H7" s="137"/>
      <c r="I7" s="138"/>
    </row>
    <row r="8" spans="1:9" ht="16" thickBot="1">
      <c r="A8" s="134" t="s">
        <v>112</v>
      </c>
      <c r="B8" s="135"/>
      <c r="C8" s="136" t="s">
        <v>113</v>
      </c>
      <c r="D8" s="136"/>
      <c r="E8" s="136"/>
      <c r="F8" s="136"/>
      <c r="G8" s="137"/>
      <c r="H8" s="137"/>
      <c r="I8" s="138"/>
    </row>
    <row r="9" spans="1:9" ht="16" thickBot="1">
      <c r="A9" s="134" t="s">
        <v>114</v>
      </c>
      <c r="B9" s="135"/>
      <c r="C9" s="136" t="s">
        <v>222</v>
      </c>
      <c r="D9" s="136"/>
      <c r="E9" s="136"/>
      <c r="F9" s="136"/>
      <c r="G9" s="137"/>
      <c r="H9" s="137"/>
      <c r="I9" s="138"/>
    </row>
    <row r="10" spans="1:9" ht="16" thickBot="1">
      <c r="A10" s="139" t="s">
        <v>51</v>
      </c>
      <c r="B10" s="140"/>
      <c r="C10" s="136" t="s">
        <v>111</v>
      </c>
      <c r="D10" s="136"/>
      <c r="E10" s="136"/>
      <c r="F10" s="136"/>
      <c r="G10" s="137"/>
      <c r="H10" s="137"/>
      <c r="I10" s="138"/>
    </row>
    <row r="11" spans="1:9" ht="16" thickBot="1">
      <c r="A11" s="130" t="s">
        <v>83</v>
      </c>
      <c r="B11" s="132"/>
      <c r="C11" s="132"/>
      <c r="D11" s="131"/>
      <c r="E11" s="131"/>
      <c r="F11" s="131"/>
      <c r="G11" s="131"/>
      <c r="H11" s="131"/>
      <c r="I11" s="133"/>
    </row>
    <row r="12" spans="1:9" ht="16" thickBot="1">
      <c r="A12" s="139" t="s">
        <v>84</v>
      </c>
      <c r="B12" s="140"/>
      <c r="C12" s="136" t="s">
        <v>109</v>
      </c>
      <c r="D12" s="136"/>
      <c r="E12" s="136"/>
      <c r="F12" s="136"/>
      <c r="G12" s="137"/>
      <c r="H12" s="137"/>
      <c r="I12" s="138"/>
    </row>
    <row r="13" spans="1:9" ht="16" thickBot="1">
      <c r="A13" s="139" t="s">
        <v>85</v>
      </c>
      <c r="B13" s="140"/>
      <c r="C13" s="136" t="s">
        <v>110</v>
      </c>
      <c r="D13" s="136"/>
      <c r="E13" s="136"/>
      <c r="F13" s="136"/>
      <c r="G13" s="137"/>
      <c r="H13" s="137"/>
      <c r="I13" s="138"/>
    </row>
    <row r="14" spans="1:9" ht="15.75" customHeight="1" thickBot="1">
      <c r="A14" s="139" t="s">
        <v>108</v>
      </c>
      <c r="B14" s="140"/>
      <c r="C14" s="136" t="s">
        <v>107</v>
      </c>
      <c r="D14" s="141"/>
      <c r="E14" s="141"/>
      <c r="F14" s="136"/>
      <c r="G14" s="137"/>
      <c r="H14" s="137"/>
      <c r="I14" s="138"/>
    </row>
    <row r="15" spans="1:9" ht="15.75" customHeight="1" thickBot="1">
      <c r="A15" s="142" t="s">
        <v>86</v>
      </c>
      <c r="B15" s="143"/>
      <c r="C15" s="143"/>
      <c r="D15" s="143"/>
      <c r="E15" s="143"/>
      <c r="F15" s="144"/>
      <c r="G15" s="145"/>
      <c r="H15" s="145"/>
      <c r="I15" s="146"/>
    </row>
    <row r="16" spans="1:9" ht="15.75" customHeight="1">
      <c r="A16" s="147"/>
      <c r="B16" s="148"/>
      <c r="C16" s="148"/>
      <c r="D16" s="148"/>
      <c r="E16" s="148"/>
      <c r="F16" s="148"/>
      <c r="G16" s="148"/>
      <c r="H16" s="148"/>
      <c r="I16" s="149"/>
    </row>
    <row r="17" spans="1:9" ht="15.75" customHeight="1">
      <c r="A17" s="373" t="s">
        <v>89</v>
      </c>
      <c r="B17" s="361"/>
      <c r="C17" s="361"/>
      <c r="D17" s="361"/>
      <c r="E17" s="361"/>
      <c r="F17" s="361"/>
      <c r="G17" s="361"/>
      <c r="H17" s="361"/>
      <c r="I17" s="362"/>
    </row>
    <row r="18" spans="1:9" ht="15.75" customHeight="1">
      <c r="A18" s="150"/>
      <c r="B18" s="272"/>
      <c r="C18" s="151"/>
      <c r="D18" s="151"/>
      <c r="E18" s="151"/>
      <c r="F18" s="151"/>
      <c r="G18" s="151"/>
      <c r="H18" s="151"/>
      <c r="I18" s="152"/>
    </row>
    <row r="19" spans="1:9" ht="15.75" customHeight="1">
      <c r="A19" s="273" t="s">
        <v>90</v>
      </c>
      <c r="B19" s="151"/>
      <c r="C19" s="151"/>
      <c r="D19" s="151"/>
      <c r="E19" s="151"/>
      <c r="F19" s="151"/>
      <c r="G19" s="151"/>
      <c r="H19" s="151"/>
      <c r="I19" s="152"/>
    </row>
    <row r="20" spans="1:9" ht="15.75" customHeight="1">
      <c r="A20" s="150"/>
      <c r="B20" s="151"/>
      <c r="C20" s="151"/>
      <c r="D20" s="151"/>
      <c r="E20" s="151"/>
      <c r="F20" s="151"/>
      <c r="G20" s="151"/>
      <c r="H20" s="151"/>
      <c r="I20" s="152"/>
    </row>
    <row r="21" spans="1:9" ht="15.75" customHeight="1">
      <c r="A21" s="274" t="s">
        <v>87</v>
      </c>
      <c r="B21" s="374" t="s">
        <v>229</v>
      </c>
      <c r="C21" s="364"/>
      <c r="D21" s="364"/>
      <c r="E21" s="364"/>
      <c r="F21" s="364"/>
      <c r="G21" s="364"/>
      <c r="H21" s="364"/>
      <c r="I21" s="365"/>
    </row>
    <row r="22" spans="1:9" ht="15.75" customHeight="1">
      <c r="A22" s="150"/>
      <c r="B22" s="364"/>
      <c r="C22" s="364"/>
      <c r="D22" s="364"/>
      <c r="E22" s="364"/>
      <c r="F22" s="364"/>
      <c r="G22" s="364"/>
      <c r="H22" s="364"/>
      <c r="I22" s="365"/>
    </row>
    <row r="23" spans="1:9" ht="15.75" customHeight="1">
      <c r="A23" s="275" t="s">
        <v>88</v>
      </c>
      <c r="B23" s="375" t="s">
        <v>230</v>
      </c>
      <c r="C23" s="364"/>
      <c r="D23" s="364"/>
      <c r="E23" s="364"/>
      <c r="F23" s="364"/>
      <c r="G23" s="364"/>
      <c r="H23" s="364"/>
      <c r="I23" s="365"/>
    </row>
    <row r="24" spans="1:9" ht="15.75" customHeight="1">
      <c r="A24" s="150"/>
      <c r="B24" s="364"/>
      <c r="C24" s="364"/>
      <c r="D24" s="364"/>
      <c r="E24" s="364"/>
      <c r="F24" s="364"/>
      <c r="G24" s="364"/>
      <c r="H24" s="364"/>
      <c r="I24" s="365"/>
    </row>
    <row r="25" spans="1:9" ht="15.75" customHeight="1" thickBot="1">
      <c r="A25" s="153"/>
      <c r="B25" s="154"/>
      <c r="C25" s="154"/>
      <c r="D25" s="154"/>
      <c r="E25" s="154"/>
      <c r="F25" s="155"/>
      <c r="G25" s="155"/>
      <c r="H25" s="155"/>
      <c r="I25" s="156"/>
    </row>
    <row r="26" spans="1:9" ht="15.75" customHeight="1">
      <c r="A26" s="370"/>
      <c r="B26" s="371"/>
      <c r="C26" s="371"/>
      <c r="D26" s="371"/>
      <c r="E26" s="371"/>
      <c r="F26" s="371"/>
      <c r="G26" s="371"/>
      <c r="H26" s="371"/>
      <c r="I26" s="372"/>
    </row>
    <row r="27" spans="1:9" ht="15.75" customHeight="1">
      <c r="A27" s="360" t="s">
        <v>78</v>
      </c>
      <c r="B27" s="361"/>
      <c r="C27" s="361"/>
      <c r="D27" s="361"/>
      <c r="E27" s="361"/>
      <c r="F27" s="361"/>
      <c r="G27" s="361"/>
      <c r="H27" s="361"/>
      <c r="I27" s="362"/>
    </row>
    <row r="28" spans="1:9" ht="15.75" customHeight="1">
      <c r="A28" s="157"/>
      <c r="B28" s="158"/>
      <c r="C28" s="158"/>
      <c r="D28" s="158"/>
      <c r="E28" s="158"/>
      <c r="F28" s="158"/>
      <c r="G28" s="158"/>
      <c r="H28" s="158"/>
      <c r="I28" s="159"/>
    </row>
    <row r="29" spans="1:9" ht="15.75" customHeight="1">
      <c r="A29" s="276" t="s">
        <v>87</v>
      </c>
      <c r="B29" s="363" t="s">
        <v>231</v>
      </c>
      <c r="C29" s="364"/>
      <c r="D29" s="364"/>
      <c r="E29" s="364"/>
      <c r="F29" s="364"/>
      <c r="G29" s="364"/>
      <c r="H29" s="364"/>
      <c r="I29" s="365"/>
    </row>
    <row r="30" spans="1:9" ht="15.75" customHeight="1">
      <c r="A30" s="157"/>
      <c r="B30" s="364"/>
      <c r="C30" s="364"/>
      <c r="D30" s="364"/>
      <c r="E30" s="364"/>
      <c r="F30" s="364"/>
      <c r="G30" s="364"/>
      <c r="H30" s="364"/>
      <c r="I30" s="365"/>
    </row>
    <row r="31" spans="1:9" ht="15.75" customHeight="1">
      <c r="A31" s="157"/>
      <c r="B31" s="158"/>
      <c r="C31" s="158"/>
      <c r="D31" s="158"/>
      <c r="E31" s="158"/>
      <c r="F31" s="158"/>
      <c r="G31" s="158"/>
      <c r="H31" s="158"/>
      <c r="I31" s="159"/>
    </row>
    <row r="32" spans="1:9" ht="15.75" customHeight="1">
      <c r="A32" s="276" t="s">
        <v>88</v>
      </c>
      <c r="B32" s="363" t="s">
        <v>228</v>
      </c>
      <c r="C32" s="364"/>
      <c r="D32" s="364"/>
      <c r="E32" s="364"/>
      <c r="F32" s="364"/>
      <c r="G32" s="364"/>
      <c r="H32" s="364"/>
      <c r="I32" s="365"/>
    </row>
    <row r="33" spans="1:9" ht="15.75" customHeight="1">
      <c r="A33" s="157"/>
      <c r="B33" s="364"/>
      <c r="C33" s="364"/>
      <c r="D33" s="364"/>
      <c r="E33" s="364"/>
      <c r="F33" s="364"/>
      <c r="G33" s="364"/>
      <c r="H33" s="364"/>
      <c r="I33" s="365"/>
    </row>
    <row r="34" spans="1:9" ht="15.75" customHeight="1" thickBot="1">
      <c r="A34" s="376"/>
      <c r="B34" s="377"/>
      <c r="C34" s="377"/>
      <c r="D34" s="377"/>
      <c r="E34" s="377"/>
      <c r="F34" s="377"/>
      <c r="G34" s="377"/>
      <c r="H34" s="377"/>
      <c r="I34" s="378"/>
    </row>
    <row r="35" spans="1:9" ht="15.75" customHeight="1">
      <c r="A35" s="386" t="s">
        <v>168</v>
      </c>
      <c r="B35" s="387"/>
      <c r="C35" s="387"/>
      <c r="D35" s="387"/>
      <c r="E35" s="387"/>
      <c r="F35" s="387"/>
      <c r="G35" s="160" t="s">
        <v>165</v>
      </c>
      <c r="H35" s="161"/>
      <c r="I35" s="162" t="s">
        <v>166</v>
      </c>
    </row>
    <row r="36" spans="1:9" ht="15.75" customHeight="1" thickBot="1">
      <c r="A36" s="388"/>
      <c r="B36" s="389"/>
      <c r="C36" s="389"/>
      <c r="D36" s="389"/>
      <c r="E36" s="389"/>
      <c r="F36" s="389"/>
      <c r="G36" s="163" t="s">
        <v>215</v>
      </c>
      <c r="H36" s="163"/>
      <c r="I36" s="164">
        <v>44562</v>
      </c>
    </row>
    <row r="37" spans="1:9" ht="18" customHeight="1" thickBot="1">
      <c r="A37" s="379" t="s">
        <v>220</v>
      </c>
      <c r="B37" s="380"/>
      <c r="C37" s="380"/>
      <c r="D37" s="380"/>
      <c r="E37" s="380"/>
      <c r="F37" s="380"/>
      <c r="G37" s="380"/>
      <c r="H37" s="165"/>
      <c r="I37" s="166"/>
    </row>
    <row r="38" spans="1:9" ht="15.75" customHeight="1">
      <c r="A38" s="167"/>
      <c r="B38" s="168"/>
      <c r="C38" s="390" t="s">
        <v>91</v>
      </c>
      <c r="D38" s="391"/>
      <c r="E38" s="391"/>
      <c r="F38" s="392"/>
      <c r="G38" s="381" t="s">
        <v>92</v>
      </c>
      <c r="H38" s="382"/>
      <c r="I38" s="383"/>
    </row>
    <row r="39" spans="1:9" ht="15.75" customHeight="1">
      <c r="A39" s="393" t="s">
        <v>93</v>
      </c>
      <c r="B39" s="394"/>
      <c r="C39" s="169" t="s">
        <v>94</v>
      </c>
      <c r="D39" s="170" t="s">
        <v>95</v>
      </c>
      <c r="E39" s="171" t="s">
        <v>61</v>
      </c>
      <c r="F39" s="172" t="s">
        <v>79</v>
      </c>
      <c r="G39" s="173" t="s">
        <v>96</v>
      </c>
      <c r="H39" s="174" t="s">
        <v>85</v>
      </c>
      <c r="I39" s="175" t="s">
        <v>79</v>
      </c>
    </row>
    <row r="40" spans="1:9" ht="15.75" customHeight="1">
      <c r="A40" s="397" t="s">
        <v>97</v>
      </c>
      <c r="B40" s="398"/>
      <c r="C40" s="176">
        <v>1</v>
      </c>
      <c r="D40" s="177" t="s">
        <v>98</v>
      </c>
      <c r="E40" s="178">
        <v>25</v>
      </c>
      <c r="F40" s="179">
        <f>C40*E40</f>
        <v>25</v>
      </c>
      <c r="G40" s="180">
        <v>2.5</v>
      </c>
      <c r="H40" s="181">
        <v>36.25</v>
      </c>
      <c r="I40" s="182">
        <f>G40*H40</f>
        <v>90.625</v>
      </c>
    </row>
    <row r="41" spans="1:9" ht="15.75" customHeight="1">
      <c r="A41" s="397"/>
      <c r="B41" s="398"/>
      <c r="C41" s="183"/>
      <c r="D41" s="177"/>
      <c r="E41" s="178"/>
      <c r="F41" s="179">
        <f>C41*E41</f>
        <v>0</v>
      </c>
      <c r="G41" s="184"/>
      <c r="H41" s="181"/>
      <c r="I41" s="182">
        <f>G41*H41</f>
        <v>0</v>
      </c>
    </row>
    <row r="42" spans="1:9" ht="15.75" customHeight="1">
      <c r="A42" s="397"/>
      <c r="B42" s="398"/>
      <c r="C42" s="183"/>
      <c r="D42" s="177"/>
      <c r="E42" s="185"/>
      <c r="F42" s="179">
        <f>C42*E42</f>
        <v>0</v>
      </c>
      <c r="G42" s="184"/>
      <c r="H42" s="181"/>
      <c r="I42" s="182">
        <f>G42*H42</f>
        <v>0</v>
      </c>
    </row>
    <row r="43" spans="1:9" ht="15.75" customHeight="1" thickBot="1">
      <c r="A43" s="399"/>
      <c r="B43" s="400"/>
      <c r="C43" s="186"/>
      <c r="D43" s="187"/>
      <c r="E43" s="188" t="s">
        <v>216</v>
      </c>
      <c r="F43" s="189">
        <f>SUM(F40:F42)</f>
        <v>25</v>
      </c>
      <c r="G43" s="190"/>
      <c r="H43" s="188" t="s">
        <v>217</v>
      </c>
      <c r="I43" s="189">
        <f>SUM(I40:I42)</f>
        <v>90.625</v>
      </c>
    </row>
    <row r="44" spans="1:9" ht="15.75" customHeight="1" thickBot="1">
      <c r="A44" s="191"/>
      <c r="B44" s="192"/>
      <c r="C44" s="192"/>
      <c r="D44" s="192"/>
      <c r="E44" s="193"/>
      <c r="F44" s="194"/>
      <c r="G44" s="195"/>
      <c r="H44" s="193" t="s">
        <v>218</v>
      </c>
      <c r="I44" s="196">
        <f>SUM(F43+I43)</f>
        <v>115.625</v>
      </c>
    </row>
    <row r="45" spans="1:9" ht="18" customHeight="1" thickBot="1">
      <c r="A45" s="401" t="s">
        <v>221</v>
      </c>
      <c r="B45" s="402"/>
      <c r="C45" s="402"/>
      <c r="D45" s="402"/>
      <c r="E45" s="402"/>
      <c r="F45" s="402"/>
      <c r="G45" s="402"/>
      <c r="H45" s="402"/>
      <c r="I45" s="403"/>
    </row>
    <row r="46" spans="1:9" ht="15.75" customHeight="1">
      <c r="A46" s="167"/>
      <c r="B46" s="168"/>
      <c r="C46" s="390" t="s">
        <v>91</v>
      </c>
      <c r="D46" s="391"/>
      <c r="E46" s="391"/>
      <c r="F46" s="392"/>
      <c r="G46" s="381" t="s">
        <v>92</v>
      </c>
      <c r="H46" s="382"/>
      <c r="I46" s="383"/>
    </row>
    <row r="47" spans="1:9" ht="15.75" customHeight="1">
      <c r="A47" s="393" t="s">
        <v>93</v>
      </c>
      <c r="B47" s="394"/>
      <c r="C47" s="197" t="s">
        <v>94</v>
      </c>
      <c r="D47" s="198" t="s">
        <v>95</v>
      </c>
      <c r="E47" s="198" t="s">
        <v>61</v>
      </c>
      <c r="F47" s="199" t="s">
        <v>79</v>
      </c>
      <c r="G47" s="197" t="s">
        <v>96</v>
      </c>
      <c r="H47" s="198" t="s">
        <v>85</v>
      </c>
      <c r="I47" s="200" t="s">
        <v>79</v>
      </c>
    </row>
    <row r="48" spans="1:9" ht="15.75" customHeight="1">
      <c r="A48" s="384" t="s">
        <v>99</v>
      </c>
      <c r="B48" s="385"/>
      <c r="C48" s="201">
        <v>10</v>
      </c>
      <c r="D48" s="202" t="s">
        <v>98</v>
      </c>
      <c r="E48" s="203">
        <v>27</v>
      </c>
      <c r="F48" s="40">
        <f>C48*E48</f>
        <v>270</v>
      </c>
      <c r="G48" s="204">
        <v>6</v>
      </c>
      <c r="H48" s="205">
        <v>36.25</v>
      </c>
      <c r="I48" s="206">
        <f>G48*H48</f>
        <v>217.5</v>
      </c>
    </row>
    <row r="49" spans="1:9" ht="15.75" customHeight="1">
      <c r="A49" s="384"/>
      <c r="B49" s="385"/>
      <c r="C49" s="207"/>
      <c r="D49" s="202"/>
      <c r="E49" s="203"/>
      <c r="F49" s="40">
        <f>C49*E49</f>
        <v>0</v>
      </c>
      <c r="G49" s="208"/>
      <c r="H49" s="205"/>
      <c r="I49" s="206">
        <f>G49*H49</f>
        <v>0</v>
      </c>
    </row>
    <row r="50" spans="1:9" ht="15.75" customHeight="1">
      <c r="A50" s="384"/>
      <c r="B50" s="385"/>
      <c r="C50" s="209"/>
      <c r="D50" s="210"/>
      <c r="E50" s="211"/>
      <c r="F50" s="212">
        <f>C50*E50</f>
        <v>0</v>
      </c>
      <c r="G50" s="213"/>
      <c r="H50" s="214"/>
      <c r="I50" s="215">
        <f>G50*H50</f>
        <v>0</v>
      </c>
    </row>
    <row r="51" spans="1:9" ht="15.75" customHeight="1" thickBot="1">
      <c r="A51" s="395"/>
      <c r="B51" s="396"/>
      <c r="C51" s="191"/>
      <c r="D51" s="192"/>
      <c r="E51" s="193" t="s">
        <v>216</v>
      </c>
      <c r="F51" s="216">
        <f>SUM(F48:F50)</f>
        <v>270</v>
      </c>
      <c r="G51" s="217"/>
      <c r="H51" s="193" t="s">
        <v>217</v>
      </c>
      <c r="I51" s="216">
        <f>SUM(I48:I50)</f>
        <v>217.5</v>
      </c>
    </row>
    <row r="52" spans="1:9" ht="15.75" customHeight="1" thickBot="1">
      <c r="A52" s="191"/>
      <c r="B52" s="192"/>
      <c r="C52" s="192"/>
      <c r="D52" s="192"/>
      <c r="E52" s="193"/>
      <c r="F52" s="194"/>
      <c r="G52" s="195"/>
      <c r="H52" s="193" t="s">
        <v>219</v>
      </c>
      <c r="I52" s="196">
        <f>SUM(F51+I51)</f>
        <v>487.5</v>
      </c>
    </row>
    <row r="53" spans="1:9" ht="15.75" customHeight="1">
      <c r="A53" s="404"/>
      <c r="B53" s="405"/>
      <c r="C53" s="405"/>
      <c r="D53" s="405"/>
      <c r="E53" s="405"/>
      <c r="F53" s="405"/>
      <c r="G53" s="405"/>
      <c r="H53" s="405"/>
      <c r="I53" s="406"/>
    </row>
    <row r="54" spans="1:9" ht="15.75" customHeight="1">
      <c r="A54" s="407" t="s">
        <v>257</v>
      </c>
      <c r="B54" s="408"/>
      <c r="C54" s="408"/>
      <c r="D54" s="408"/>
      <c r="E54" s="408"/>
      <c r="F54" s="408"/>
      <c r="G54" s="408"/>
      <c r="H54" s="408"/>
      <c r="I54" s="409"/>
    </row>
    <row r="55" spans="1:9" ht="15.75" customHeight="1">
      <c r="A55" s="298"/>
      <c r="B55" s="299"/>
      <c r="C55" s="299"/>
      <c r="D55" s="299"/>
      <c r="E55" s="299"/>
      <c r="F55" s="299"/>
      <c r="G55" s="299"/>
      <c r="H55" s="299"/>
      <c r="I55" s="300"/>
    </row>
    <row r="56" spans="1:9" ht="15.75" customHeight="1">
      <c r="A56" s="413" t="s">
        <v>258</v>
      </c>
      <c r="B56" s="414"/>
      <c r="C56" s="414"/>
      <c r="D56" s="414"/>
      <c r="E56" s="414"/>
      <c r="F56" s="414"/>
      <c r="G56" s="414"/>
      <c r="H56" s="414"/>
      <c r="I56" s="415"/>
    </row>
    <row r="57" spans="1:9" ht="15.75" customHeight="1">
      <c r="A57" s="413"/>
      <c r="B57" s="414"/>
      <c r="C57" s="414"/>
      <c r="D57" s="414"/>
      <c r="E57" s="414"/>
      <c r="F57" s="414"/>
      <c r="G57" s="414"/>
      <c r="H57" s="414"/>
      <c r="I57" s="415"/>
    </row>
    <row r="58" spans="1:9" ht="15.75" customHeight="1">
      <c r="A58" s="294"/>
      <c r="B58" s="295"/>
      <c r="C58" s="295"/>
      <c r="D58" s="295"/>
      <c r="E58" s="295"/>
      <c r="F58" s="295"/>
      <c r="G58" s="295"/>
      <c r="H58" s="295"/>
      <c r="I58" s="296"/>
    </row>
    <row r="59" spans="1:9" ht="15.75" customHeight="1">
      <c r="A59" s="297" t="s">
        <v>87</v>
      </c>
      <c r="B59" s="416" t="s">
        <v>259</v>
      </c>
      <c r="C59" s="416"/>
      <c r="D59" s="416"/>
      <c r="E59" s="416"/>
      <c r="F59" s="416"/>
      <c r="G59" s="416"/>
      <c r="H59" s="416"/>
      <c r="I59" s="417"/>
    </row>
    <row r="60" spans="1:9" ht="15.75" customHeight="1">
      <c r="A60" s="297"/>
      <c r="B60" s="416"/>
      <c r="C60" s="416"/>
      <c r="D60" s="416"/>
      <c r="E60" s="416"/>
      <c r="F60" s="416"/>
      <c r="G60" s="416"/>
      <c r="H60" s="416"/>
      <c r="I60" s="417"/>
    </row>
    <row r="61" spans="1:9" ht="15.75" customHeight="1">
      <c r="A61" s="294"/>
      <c r="B61" s="416"/>
      <c r="C61" s="416"/>
      <c r="D61" s="416"/>
      <c r="E61" s="416"/>
      <c r="F61" s="416"/>
      <c r="G61" s="416"/>
      <c r="H61" s="416"/>
      <c r="I61" s="417"/>
    </row>
    <row r="62" spans="1:9" ht="15.75" customHeight="1">
      <c r="A62" s="294"/>
      <c r="B62" s="416"/>
      <c r="C62" s="416"/>
      <c r="D62" s="416"/>
      <c r="E62" s="416"/>
      <c r="F62" s="416"/>
      <c r="G62" s="416"/>
      <c r="H62" s="416"/>
      <c r="I62" s="417"/>
    </row>
    <row r="63" spans="1:9" ht="15.75" customHeight="1">
      <c r="A63" s="294"/>
      <c r="B63" s="416"/>
      <c r="C63" s="416"/>
      <c r="D63" s="416"/>
      <c r="E63" s="416"/>
      <c r="F63" s="416"/>
      <c r="G63" s="416"/>
      <c r="H63" s="416"/>
      <c r="I63" s="417"/>
    </row>
    <row r="64" spans="1:9" ht="15.75" customHeight="1">
      <c r="A64" s="294"/>
      <c r="B64" s="319"/>
      <c r="C64" s="319"/>
      <c r="D64" s="319"/>
      <c r="E64" s="319"/>
      <c r="F64" s="319"/>
      <c r="G64" s="319"/>
      <c r="H64" s="319"/>
      <c r="I64" s="320"/>
    </row>
    <row r="65" spans="1:9" ht="15.75" customHeight="1">
      <c r="A65" s="297" t="s">
        <v>88</v>
      </c>
      <c r="B65" s="416" t="s">
        <v>256</v>
      </c>
      <c r="C65" s="416"/>
      <c r="D65" s="416"/>
      <c r="E65" s="416"/>
      <c r="F65" s="416"/>
      <c r="G65" s="416"/>
      <c r="H65" s="416"/>
      <c r="I65" s="417"/>
    </row>
    <row r="66" spans="1:9" ht="15.75" customHeight="1">
      <c r="A66" s="297"/>
      <c r="B66" s="416"/>
      <c r="C66" s="416"/>
      <c r="D66" s="416"/>
      <c r="E66" s="416"/>
      <c r="F66" s="416"/>
      <c r="G66" s="416"/>
      <c r="H66" s="416"/>
      <c r="I66" s="417"/>
    </row>
    <row r="67" spans="1:9" ht="15.75" customHeight="1">
      <c r="A67" s="294"/>
      <c r="B67" s="416"/>
      <c r="C67" s="416"/>
      <c r="D67" s="416"/>
      <c r="E67" s="416"/>
      <c r="F67" s="416"/>
      <c r="G67" s="416"/>
      <c r="H67" s="416"/>
      <c r="I67" s="417"/>
    </row>
    <row r="68" spans="1:9" ht="15.75" customHeight="1">
      <c r="A68" s="294"/>
      <c r="B68" s="416"/>
      <c r="C68" s="416"/>
      <c r="D68" s="416"/>
      <c r="E68" s="416"/>
      <c r="F68" s="416"/>
      <c r="G68" s="416"/>
      <c r="H68" s="416"/>
      <c r="I68" s="417"/>
    </row>
    <row r="69" spans="1:9" ht="15.75" customHeight="1" thickBot="1">
      <c r="A69" s="410"/>
      <c r="B69" s="411"/>
      <c r="C69" s="411"/>
      <c r="D69" s="411"/>
      <c r="E69" s="411"/>
      <c r="F69" s="411"/>
      <c r="G69" s="411"/>
      <c r="H69" s="411"/>
      <c r="I69" s="412"/>
    </row>
    <row r="70" spans="1:9" ht="15.75" customHeight="1">
      <c r="A70" s="5"/>
    </row>
    <row r="71" spans="1:9" ht="15.75" customHeight="1">
      <c r="A71" s="5"/>
    </row>
    <row r="72" spans="1:9" ht="15.75" customHeight="1">
      <c r="A72" s="5"/>
    </row>
    <row r="73" spans="1:9" ht="15.75" customHeight="1">
      <c r="A73" s="5"/>
    </row>
    <row r="74" spans="1:9" ht="15.75" customHeight="1">
      <c r="A74" s="5"/>
    </row>
    <row r="75" spans="1:9" ht="15.75" customHeight="1">
      <c r="A75" s="5"/>
    </row>
    <row r="76" spans="1:9" ht="15.75" customHeight="1">
      <c r="A76" s="5"/>
    </row>
    <row r="77" spans="1:9" ht="15.75" customHeight="1">
      <c r="A77" s="5"/>
    </row>
    <row r="78" spans="1:9" ht="15.75" customHeight="1">
      <c r="A78" s="5"/>
    </row>
    <row r="79" spans="1:9" ht="15.75" customHeight="1">
      <c r="A79" s="5"/>
    </row>
    <row r="80" spans="1:9" ht="15.75" customHeight="1">
      <c r="A80" s="5"/>
    </row>
    <row r="81" spans="1:1" ht="15.75" customHeight="1">
      <c r="A81" s="5"/>
    </row>
    <row r="82" spans="1:1" ht="15.75" customHeight="1">
      <c r="A82" s="5"/>
    </row>
    <row r="83" spans="1:1" ht="15.75" customHeight="1">
      <c r="A83" s="5"/>
    </row>
    <row r="84" spans="1:1" ht="15.75" customHeight="1">
      <c r="A84" s="5"/>
    </row>
    <row r="85" spans="1:1" ht="15.75" customHeight="1">
      <c r="A85" s="5"/>
    </row>
    <row r="86" spans="1:1" ht="15.75" customHeight="1">
      <c r="A86" s="5"/>
    </row>
    <row r="87" spans="1:1" ht="15.75" customHeight="1">
      <c r="A87" s="5"/>
    </row>
    <row r="88" spans="1:1" ht="15.75" customHeight="1">
      <c r="A88" s="5"/>
    </row>
    <row r="89" spans="1:1" ht="15.75" customHeight="1">
      <c r="A89" s="5"/>
    </row>
    <row r="90" spans="1:1" ht="15.75" customHeight="1">
      <c r="A90" s="5"/>
    </row>
    <row r="91" spans="1:1" ht="15.75" customHeight="1">
      <c r="A91" s="5"/>
    </row>
    <row r="92" spans="1:1" ht="15.75" customHeight="1">
      <c r="A92" s="5"/>
    </row>
    <row r="93" spans="1:1" ht="15.75" customHeight="1">
      <c r="A93" s="5"/>
    </row>
    <row r="94" spans="1:1" ht="15.75" customHeight="1">
      <c r="A94" s="5"/>
    </row>
    <row r="95" spans="1:1" ht="15.75" customHeight="1">
      <c r="A95" s="5"/>
    </row>
    <row r="96" spans="1:1" ht="15.75" customHeight="1">
      <c r="A96" s="5"/>
    </row>
    <row r="97" spans="1:1" ht="15.75" customHeight="1">
      <c r="A97" s="5"/>
    </row>
    <row r="98" spans="1:1" ht="15.75" customHeight="1">
      <c r="A98" s="5"/>
    </row>
    <row r="99" spans="1:1" ht="15.75" customHeight="1">
      <c r="A99" s="5"/>
    </row>
    <row r="100" spans="1:1" ht="15.75" customHeight="1">
      <c r="A100" s="5"/>
    </row>
    <row r="101" spans="1:1" ht="15.75" customHeight="1">
      <c r="A101" s="5"/>
    </row>
    <row r="102" spans="1:1" ht="15.75" customHeight="1">
      <c r="A102" s="5"/>
    </row>
    <row r="103" spans="1:1" ht="15.75" customHeight="1">
      <c r="A103" s="5"/>
    </row>
    <row r="104" spans="1:1" ht="15.75" customHeight="1">
      <c r="A104" s="5"/>
    </row>
    <row r="105" spans="1:1" ht="15.75" customHeight="1">
      <c r="A105" s="5"/>
    </row>
    <row r="106" spans="1:1" ht="15.75" customHeight="1">
      <c r="A106" s="5"/>
    </row>
    <row r="107" spans="1:1" ht="15.75" customHeight="1">
      <c r="A107" s="5"/>
    </row>
    <row r="108" spans="1:1" ht="15.75" customHeight="1">
      <c r="A108" s="5"/>
    </row>
    <row r="109" spans="1:1" ht="15.75" customHeight="1">
      <c r="A109" s="5"/>
    </row>
    <row r="110" spans="1:1" ht="15.75" customHeight="1">
      <c r="A110" s="5"/>
    </row>
    <row r="111" spans="1:1" ht="15.75" customHeight="1">
      <c r="A111" s="5"/>
    </row>
    <row r="112" spans="1:1" ht="15.75" customHeight="1">
      <c r="A112" s="5"/>
    </row>
    <row r="113" spans="1:1" ht="15.75" customHeight="1">
      <c r="A113" s="5"/>
    </row>
    <row r="114" spans="1:1" ht="15.75" customHeight="1">
      <c r="A114" s="5"/>
    </row>
    <row r="115" spans="1:1" ht="15.75" customHeight="1">
      <c r="A115" s="5"/>
    </row>
    <row r="116" spans="1:1" ht="15.75" customHeight="1">
      <c r="A116" s="5"/>
    </row>
    <row r="117" spans="1:1" ht="15.75" customHeight="1">
      <c r="A117" s="5"/>
    </row>
    <row r="118" spans="1:1" ht="15.75" customHeight="1">
      <c r="A118" s="5"/>
    </row>
    <row r="119" spans="1:1" ht="15.75" customHeight="1">
      <c r="A119" s="5"/>
    </row>
    <row r="120" spans="1:1" ht="15.75" customHeight="1">
      <c r="A120" s="5"/>
    </row>
    <row r="121" spans="1:1" ht="15.75" customHeight="1">
      <c r="A121" s="5"/>
    </row>
    <row r="122" spans="1:1" ht="15.75" customHeight="1">
      <c r="A122" s="5"/>
    </row>
    <row r="123" spans="1:1" ht="15.75" customHeight="1">
      <c r="A123" s="5"/>
    </row>
    <row r="124" spans="1:1" ht="15.75" customHeight="1">
      <c r="A124" s="5"/>
    </row>
    <row r="125" spans="1:1" ht="15.75" customHeight="1">
      <c r="A125" s="5"/>
    </row>
    <row r="126" spans="1:1" ht="15.75" customHeight="1">
      <c r="A126" s="5"/>
    </row>
    <row r="127" spans="1:1" ht="15.75" customHeight="1">
      <c r="A127" s="5"/>
    </row>
    <row r="128" spans="1:1" ht="15.75" customHeight="1">
      <c r="A128" s="5"/>
    </row>
    <row r="129" spans="1:1" ht="15.75" customHeight="1">
      <c r="A129" s="5"/>
    </row>
    <row r="130" spans="1:1" ht="15.75" customHeight="1">
      <c r="A130" s="5"/>
    </row>
    <row r="131" spans="1:1" ht="15.75" customHeight="1">
      <c r="A131" s="5"/>
    </row>
    <row r="132" spans="1:1" ht="15.75" customHeight="1">
      <c r="A132" s="5"/>
    </row>
    <row r="133" spans="1:1" ht="15.75" customHeight="1">
      <c r="A133" s="5"/>
    </row>
    <row r="134" spans="1:1" ht="15.75" customHeight="1">
      <c r="A134" s="5"/>
    </row>
    <row r="135" spans="1:1" ht="15.75" customHeight="1">
      <c r="A135" s="5"/>
    </row>
    <row r="136" spans="1:1" ht="15.75" customHeight="1">
      <c r="A136" s="5"/>
    </row>
    <row r="137" spans="1:1" ht="15.75" customHeight="1">
      <c r="A137" s="5"/>
    </row>
    <row r="138" spans="1:1" ht="15.75" customHeight="1">
      <c r="A138" s="5"/>
    </row>
    <row r="139" spans="1:1" ht="15.75" customHeight="1">
      <c r="A139" s="5"/>
    </row>
    <row r="140" spans="1:1" ht="15.75" customHeight="1">
      <c r="A140" s="5"/>
    </row>
    <row r="141" spans="1:1" ht="15.75" customHeight="1">
      <c r="A141" s="5"/>
    </row>
    <row r="142" spans="1:1" ht="15.75" customHeight="1">
      <c r="A142" s="5"/>
    </row>
    <row r="143" spans="1:1" ht="15.75" customHeight="1">
      <c r="A143" s="5"/>
    </row>
    <row r="144" spans="1:1" ht="15.75" customHeight="1">
      <c r="A144" s="5"/>
    </row>
    <row r="145" spans="1:1" ht="15.75" customHeight="1">
      <c r="A145" s="5"/>
    </row>
    <row r="146" spans="1:1" ht="15.75" customHeight="1">
      <c r="A146" s="5"/>
    </row>
    <row r="147" spans="1:1" ht="15.75" customHeight="1">
      <c r="A147" s="5"/>
    </row>
    <row r="148" spans="1:1" ht="15.75" customHeight="1">
      <c r="A148" s="5"/>
    </row>
    <row r="149" spans="1:1" ht="15.75" customHeight="1">
      <c r="A149" s="5"/>
    </row>
    <row r="150" spans="1:1" ht="15.75" customHeight="1">
      <c r="A150" s="5"/>
    </row>
    <row r="151" spans="1:1" ht="15.75" customHeight="1">
      <c r="A151" s="5"/>
    </row>
    <row r="152" spans="1:1" ht="15.75" customHeight="1">
      <c r="A152" s="5"/>
    </row>
    <row r="153" spans="1:1" ht="15.75" customHeight="1">
      <c r="A153" s="5"/>
    </row>
    <row r="154" spans="1:1" ht="15.75" customHeight="1">
      <c r="A154" s="5"/>
    </row>
    <row r="155" spans="1:1" ht="15.75" customHeight="1">
      <c r="A155" s="5"/>
    </row>
    <row r="156" spans="1:1" ht="15.75" customHeight="1">
      <c r="A156" s="5"/>
    </row>
    <row r="157" spans="1:1" ht="15.75" customHeight="1">
      <c r="A157" s="5"/>
    </row>
    <row r="158" spans="1:1" ht="15.75" customHeight="1">
      <c r="A158" s="5"/>
    </row>
    <row r="159" spans="1:1" ht="15.75" customHeight="1">
      <c r="A159" s="5"/>
    </row>
    <row r="160" spans="1:1" ht="15.75" customHeight="1">
      <c r="A160" s="5"/>
    </row>
    <row r="161" spans="1:1" ht="15.75" customHeight="1">
      <c r="A161" s="5"/>
    </row>
    <row r="162" spans="1:1" ht="15.75" customHeight="1">
      <c r="A162" s="5"/>
    </row>
    <row r="163" spans="1:1" ht="15.75" customHeight="1">
      <c r="A163" s="5"/>
    </row>
    <row r="164" spans="1:1" ht="15.75" customHeight="1">
      <c r="A164" s="5"/>
    </row>
    <row r="165" spans="1:1" ht="15.75" customHeight="1">
      <c r="A165" s="5"/>
    </row>
    <row r="166" spans="1:1" ht="15.75" customHeight="1">
      <c r="A166" s="5"/>
    </row>
    <row r="167" spans="1:1" ht="15.75" customHeight="1">
      <c r="A167" s="5"/>
    </row>
    <row r="168" spans="1:1" ht="15.75" customHeight="1">
      <c r="A168" s="5"/>
    </row>
    <row r="169" spans="1:1" ht="15.75" customHeight="1">
      <c r="A169" s="5"/>
    </row>
    <row r="170" spans="1:1" ht="15.75" customHeight="1">
      <c r="A170" s="5"/>
    </row>
    <row r="171" spans="1:1" ht="15.75" customHeight="1">
      <c r="A171" s="5"/>
    </row>
    <row r="172" spans="1:1" ht="15.75" customHeight="1"/>
    <row r="173" spans="1:1" ht="15.75" customHeight="1"/>
    <row r="174" spans="1:1" ht="15.75" customHeight="1"/>
    <row r="175" spans="1:1" ht="15.75" customHeight="1"/>
    <row r="176" spans="1:1"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sheetProtection algorithmName="SHA-512" hashValue="JRaJdPry3/udUDmW6yjJOFz0iPu31T0E/EbUH7c0E1lW95wl3S5U+ilADz3ip4cBp8dyNPW6k89S8XT8vwNLmg==" saltValue="e4FCuS6//J+QaKpo0hR6ew==" spinCount="100000" sheet="1" objects="1" scenarios="1"/>
  <mergeCells count="34">
    <mergeCell ref="A53:I53"/>
    <mergeCell ref="A54:I54"/>
    <mergeCell ref="A69:I69"/>
    <mergeCell ref="A56:I57"/>
    <mergeCell ref="B65:I68"/>
    <mergeCell ref="B59:I63"/>
    <mergeCell ref="A50:B50"/>
    <mergeCell ref="A51:B51"/>
    <mergeCell ref="A39:B39"/>
    <mergeCell ref="A40:B40"/>
    <mergeCell ref="A41:B41"/>
    <mergeCell ref="A42:B42"/>
    <mergeCell ref="A43:B43"/>
    <mergeCell ref="A45:I45"/>
    <mergeCell ref="A48:B48"/>
    <mergeCell ref="B32:I33"/>
    <mergeCell ref="A34:I34"/>
    <mergeCell ref="A37:G37"/>
    <mergeCell ref="G38:I38"/>
    <mergeCell ref="A49:B49"/>
    <mergeCell ref="A35:F36"/>
    <mergeCell ref="C38:F38"/>
    <mergeCell ref="C46:F46"/>
    <mergeCell ref="G46:I46"/>
    <mergeCell ref="A47:B47"/>
    <mergeCell ref="A1:I1"/>
    <mergeCell ref="A27:I27"/>
    <mergeCell ref="B29:I30"/>
    <mergeCell ref="B3:I3"/>
    <mergeCell ref="B4:I4"/>
    <mergeCell ref="A26:I26"/>
    <mergeCell ref="A17:I17"/>
    <mergeCell ref="B21:I22"/>
    <mergeCell ref="B23:I24"/>
  </mergeCells>
  <conditionalFormatting sqref="G36:H36">
    <cfRule type="expression" dxfId="43" priority="2" stopIfTrue="1">
      <formula>"MM/DD/YY"</formula>
    </cfRule>
  </conditionalFormatting>
  <conditionalFormatting sqref="H39">
    <cfRule type="expression" dxfId="42" priority="4" stopIfTrue="1">
      <formula>"MM/DD/YY"</formula>
    </cfRule>
  </conditionalFormatting>
  <conditionalFormatting sqref="H47">
    <cfRule type="expression" dxfId="41" priority="1" stopIfTrue="1">
      <formula>"MM/DD/YY"</formula>
    </cfRule>
  </conditionalFormatting>
  <pageMargins left="1.36" right="0.75" top="1" bottom="1" header="0" footer="0"/>
  <pageSetup orientation="portrait" r:id="rId1"/>
  <ignoredErrors>
    <ignoredError sqref="A29 A32 A21 A23 A59 A6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U1000"/>
  <sheetViews>
    <sheetView zoomScaleNormal="100" workbookViewId="0">
      <selection activeCell="D8" sqref="D8"/>
    </sheetView>
  </sheetViews>
  <sheetFormatPr defaultColWidth="11.23046875" defaultRowHeight="15" customHeight="1"/>
  <cols>
    <col min="1" max="1" width="4.3046875" customWidth="1"/>
    <col min="2" max="3" width="42.69140625" style="14" customWidth="1"/>
    <col min="4" max="14" width="8.53515625" customWidth="1"/>
    <col min="15" max="15" width="2.84375" customWidth="1"/>
    <col min="16" max="16" width="45.3046875" customWidth="1"/>
    <col min="17" max="27" width="8.53515625" customWidth="1"/>
  </cols>
  <sheetData>
    <row r="1" spans="1:21" ht="15.5">
      <c r="A1" s="15"/>
      <c r="B1" s="218" t="s">
        <v>130</v>
      </c>
      <c r="C1" s="219"/>
      <c r="D1" s="15"/>
    </row>
    <row r="2" spans="1:21" ht="33" customHeight="1">
      <c r="A2" s="15"/>
      <c r="B2" t="s">
        <v>131</v>
      </c>
      <c r="C2" s="219"/>
      <c r="D2" s="15"/>
      <c r="Q2" s="5"/>
      <c r="R2" s="5"/>
      <c r="S2" s="5"/>
      <c r="T2" s="5"/>
      <c r="U2" s="5"/>
    </row>
    <row r="3" spans="1:21" ht="31.5" customHeight="1">
      <c r="A3" s="15"/>
      <c r="B3" s="220" t="s">
        <v>132</v>
      </c>
      <c r="C3" s="220" t="s">
        <v>133</v>
      </c>
      <c r="D3" s="15"/>
    </row>
    <row r="4" spans="1:21" ht="71.150000000000006" customHeight="1">
      <c r="A4" s="15"/>
      <c r="B4" s="221" t="s">
        <v>141</v>
      </c>
      <c r="C4" s="222" t="s">
        <v>140</v>
      </c>
      <c r="D4" s="15"/>
    </row>
    <row r="5" spans="1:21" ht="75" customHeight="1">
      <c r="A5" s="15"/>
      <c r="B5" s="221" t="s">
        <v>138</v>
      </c>
      <c r="C5" s="222" t="s">
        <v>139</v>
      </c>
      <c r="D5" s="15"/>
    </row>
    <row r="6" spans="1:21" ht="165" customHeight="1">
      <c r="A6" s="15"/>
      <c r="B6" s="221" t="s">
        <v>136</v>
      </c>
      <c r="C6" s="222" t="s">
        <v>137</v>
      </c>
      <c r="D6" s="15"/>
    </row>
    <row r="7" spans="1:21" ht="57.65" customHeight="1">
      <c r="A7" s="15"/>
      <c r="B7" s="221" t="s">
        <v>135</v>
      </c>
      <c r="C7" s="222"/>
      <c r="D7" s="15"/>
    </row>
    <row r="8" spans="1:21" ht="297" customHeight="1">
      <c r="A8" s="15"/>
      <c r="B8" s="223" t="s">
        <v>260</v>
      </c>
      <c r="C8" s="224" t="s">
        <v>134</v>
      </c>
      <c r="D8" s="15"/>
    </row>
    <row r="9" spans="1:21" ht="15" customHeight="1">
      <c r="A9" s="15"/>
      <c r="B9" s="219"/>
      <c r="C9" s="219"/>
      <c r="D9" s="15"/>
    </row>
    <row r="10" spans="1:21" ht="15" customHeight="1">
      <c r="A10" s="15"/>
      <c r="B10" s="219"/>
      <c r="C10" s="219"/>
      <c r="D10" s="15"/>
    </row>
    <row r="11" spans="1:21" ht="15" customHeight="1">
      <c r="A11" s="15"/>
      <c r="B11" s="219"/>
      <c r="C11" s="219"/>
      <c r="D11" s="1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spans="16:16" ht="15.75" customHeight="1"/>
    <row r="34" spans="16:16" ht="15.75" customHeight="1"/>
    <row r="35" spans="16:16" ht="15.75" customHeight="1"/>
    <row r="36" spans="16:16" ht="15.75" customHeight="1"/>
    <row r="37" spans="16:16" ht="15.75" customHeight="1">
      <c r="P37" s="418"/>
    </row>
    <row r="38" spans="16:16" ht="15.75" customHeight="1">
      <c r="P38" s="418"/>
    </row>
    <row r="39" spans="16:16" ht="15.75" customHeight="1">
      <c r="P39" s="418"/>
    </row>
    <row r="40" spans="16:16" ht="15.75" customHeight="1">
      <c r="P40" s="418"/>
    </row>
    <row r="41" spans="16:16" ht="15.75" customHeight="1">
      <c r="P41" s="418"/>
    </row>
    <row r="42" spans="16:16" ht="15.75" customHeight="1">
      <c r="P42" s="418"/>
    </row>
    <row r="43" spans="16:16" ht="15.75" customHeight="1">
      <c r="P43" s="418"/>
    </row>
    <row r="44" spans="16:16" ht="15.75" customHeight="1">
      <c r="P44" s="418"/>
    </row>
    <row r="45" spans="16:16" ht="15.75" customHeight="1">
      <c r="P45" s="418"/>
    </row>
    <row r="46" spans="16:16" ht="15.75" customHeight="1">
      <c r="P46" s="418"/>
    </row>
    <row r="47" spans="16:16" ht="15.75" customHeight="1">
      <c r="P47" s="418"/>
    </row>
    <row r="48" spans="16:16" ht="15.75" customHeight="1">
      <c r="P48" s="418"/>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algorithmName="SHA-512" hashValue="x8t0WVttWpNtd/beg98fhaqKI4TFKnFZK5fO/8ma5un20UMLiddHRWXqlldKJ+7REgfz12XgjSWVWIYIbX5Zog==" saltValue="ilfX0mTMoVpV+24qSxLqQQ==" spinCount="100000" sheet="1" objects="1" scenarios="1"/>
  <mergeCells count="1">
    <mergeCell ref="P37:P48"/>
  </mergeCells>
  <pageMargins left="0.75" right="0.75" top="1" bottom="1" header="0" footer="0"/>
  <pageSetup scale="87"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L991"/>
  <sheetViews>
    <sheetView showGridLines="0" topLeftCell="B1" workbookViewId="0">
      <selection activeCell="C10" sqref="C10:D10"/>
    </sheetView>
  </sheetViews>
  <sheetFormatPr defaultColWidth="11.23046875" defaultRowHeight="15" customHeight="1"/>
  <cols>
    <col min="1" max="1" width="7.69140625" customWidth="1"/>
    <col min="2" max="2" width="48.53515625" customWidth="1"/>
    <col min="3" max="3" width="14.765625" customWidth="1"/>
    <col min="4" max="4" width="13.765625" customWidth="1"/>
    <col min="5" max="8" width="8.84375" hidden="1" customWidth="1"/>
    <col min="9" max="9" width="7.4609375" customWidth="1"/>
    <col min="10" max="10" width="11.3046875" customWidth="1"/>
    <col min="11" max="26" width="8.53515625" customWidth="1"/>
  </cols>
  <sheetData>
    <row r="1" spans="1:11" ht="27" customHeight="1">
      <c r="B1" s="419" t="s">
        <v>62</v>
      </c>
      <c r="C1" s="420"/>
      <c r="D1" s="421"/>
      <c r="E1" s="225" t="b">
        <f>C12="lump sum"</f>
        <v>0</v>
      </c>
    </row>
    <row r="2" spans="1:11" ht="20.25" customHeight="1">
      <c r="B2" s="226"/>
      <c r="C2" s="227"/>
      <c r="D2" s="228"/>
      <c r="E2" s="225" t="b">
        <f>C14="lump sum"</f>
        <v>0</v>
      </c>
    </row>
    <row r="3" spans="1:11" ht="15.5">
      <c r="B3" s="229" t="s">
        <v>167</v>
      </c>
      <c r="C3" s="422" t="s">
        <v>270</v>
      </c>
      <c r="D3" s="423"/>
      <c r="E3" s="225" t="b">
        <f>IF(C13="lump sum",TRUE,FALSE)</f>
        <v>0</v>
      </c>
    </row>
    <row r="4" spans="1:11" ht="15.5">
      <c r="B4" s="230" t="s">
        <v>63</v>
      </c>
      <c r="C4" s="424" t="s">
        <v>269</v>
      </c>
      <c r="D4" s="425"/>
      <c r="E4" s="225" t="b">
        <f>IF(C14="lump sum",TRUE,FALSE)</f>
        <v>0</v>
      </c>
    </row>
    <row r="5" spans="1:11" ht="15.5">
      <c r="B5" s="231" t="s">
        <v>64</v>
      </c>
      <c r="C5" s="424" t="s">
        <v>271</v>
      </c>
      <c r="D5" s="425"/>
      <c r="E5" s="225" t="b">
        <f>IF(C15="lump sum",TRUE,FALSE)</f>
        <v>0</v>
      </c>
    </row>
    <row r="6" spans="1:11" ht="15.5">
      <c r="B6" s="232"/>
      <c r="C6" s="233"/>
      <c r="D6" s="234"/>
      <c r="E6" s="225" t="b">
        <f>C16="lump sum"</f>
        <v>0</v>
      </c>
    </row>
    <row r="7" spans="1:11" ht="15.5">
      <c r="B7" s="231" t="s">
        <v>65</v>
      </c>
      <c r="C7" s="426"/>
      <c r="D7" s="427"/>
      <c r="I7" s="439" t="s">
        <v>66</v>
      </c>
      <c r="J7" s="440"/>
    </row>
    <row r="8" spans="1:11" ht="15" customHeight="1">
      <c r="B8" s="231" t="s">
        <v>67</v>
      </c>
      <c r="C8" s="441"/>
      <c r="D8" s="442"/>
      <c r="I8" s="440"/>
      <c r="J8" s="440"/>
    </row>
    <row r="9" spans="1:11" ht="15" customHeight="1">
      <c r="A9" s="235"/>
      <c r="B9" s="231" t="s">
        <v>4</v>
      </c>
      <c r="C9" s="426"/>
      <c r="D9" s="427"/>
      <c r="I9" s="440"/>
      <c r="J9" s="440"/>
    </row>
    <row r="10" spans="1:11" ht="15.5">
      <c r="B10" s="231" t="s">
        <v>68</v>
      </c>
      <c r="C10" s="443"/>
      <c r="D10" s="444"/>
      <c r="I10" s="440"/>
      <c r="J10" s="440"/>
    </row>
    <row r="11" spans="1:11" ht="15.5">
      <c r="B11" s="236"/>
      <c r="C11" s="237" t="s">
        <v>226</v>
      </c>
      <c r="D11" s="238" t="s">
        <v>225</v>
      </c>
      <c r="I11" s="440"/>
      <c r="J11" s="440"/>
    </row>
    <row r="12" spans="1:11" ht="15.5">
      <c r="B12" s="239" t="s">
        <v>69</v>
      </c>
      <c r="C12" s="247" t="s">
        <v>70</v>
      </c>
      <c r="D12" s="248"/>
      <c r="I12" s="428" t="s">
        <v>266</v>
      </c>
      <c r="J12" s="428"/>
      <c r="K12" s="5"/>
    </row>
    <row r="13" spans="1:11" ht="15.5">
      <c r="B13" s="240" t="s">
        <v>71</v>
      </c>
      <c r="C13" s="247" t="s">
        <v>70</v>
      </c>
      <c r="D13" s="248"/>
      <c r="I13" s="428"/>
      <c r="J13" s="428"/>
      <c r="K13" s="5"/>
    </row>
    <row r="14" spans="1:11" ht="15" customHeight="1">
      <c r="B14" s="241" t="s">
        <v>72</v>
      </c>
      <c r="C14" s="247" t="s">
        <v>70</v>
      </c>
      <c r="D14" s="249"/>
      <c r="I14" s="428"/>
      <c r="J14" s="428"/>
    </row>
    <row r="15" spans="1:11" ht="15.5">
      <c r="B15" s="242" t="s">
        <v>75</v>
      </c>
      <c r="C15" s="247" t="s">
        <v>70</v>
      </c>
      <c r="D15" s="249"/>
      <c r="I15" s="429" t="s">
        <v>74</v>
      </c>
      <c r="J15" s="429"/>
    </row>
    <row r="16" spans="1:11" ht="15.5">
      <c r="B16" s="243" t="s">
        <v>76</v>
      </c>
      <c r="C16" s="321" t="s">
        <v>70</v>
      </c>
      <c r="D16" s="248"/>
      <c r="E16" s="5"/>
      <c r="H16" s="225" t="s">
        <v>70</v>
      </c>
      <c r="I16" s="429"/>
      <c r="J16" s="429"/>
    </row>
    <row r="17" spans="2:12" ht="15" customHeight="1">
      <c r="B17" s="244"/>
      <c r="C17" s="245" t="s">
        <v>77</v>
      </c>
      <c r="D17" s="238" t="s">
        <v>78</v>
      </c>
      <c r="H17" s="225" t="s">
        <v>73</v>
      </c>
      <c r="I17" s="429"/>
      <c r="J17" s="429"/>
    </row>
    <row r="18" spans="2:12" ht="15.75" customHeight="1" thickBot="1">
      <c r="B18" s="246" t="s">
        <v>48</v>
      </c>
      <c r="C18" s="250"/>
      <c r="D18" s="251"/>
      <c r="H18" s="225"/>
      <c r="I18" s="343"/>
      <c r="J18" s="343"/>
    </row>
    <row r="19" spans="2:12" ht="15.75" customHeight="1" thickTop="1" thickBot="1"/>
    <row r="20" spans="2:12" ht="15.75" customHeight="1" thickTop="1">
      <c r="B20" s="430" t="s">
        <v>261</v>
      </c>
      <c r="C20" s="431"/>
      <c r="D20" s="432"/>
      <c r="K20" s="343"/>
      <c r="L20" s="343"/>
    </row>
    <row r="21" spans="2:12" ht="15.75" customHeight="1">
      <c r="B21" s="433"/>
      <c r="C21" s="434"/>
      <c r="D21" s="435"/>
      <c r="K21" s="343"/>
      <c r="L21" s="343"/>
    </row>
    <row r="22" spans="2:12" ht="15.75" customHeight="1">
      <c r="B22" s="433"/>
      <c r="C22" s="434"/>
      <c r="D22" s="435"/>
      <c r="K22" s="343"/>
      <c r="L22" s="343"/>
    </row>
    <row r="23" spans="2:12" ht="15.75" customHeight="1">
      <c r="B23" s="433"/>
      <c r="C23" s="434"/>
      <c r="D23" s="435"/>
    </row>
    <row r="24" spans="2:12" ht="15.75" customHeight="1" thickBot="1">
      <c r="B24" s="436"/>
      <c r="C24" s="437"/>
      <c r="D24" s="438"/>
    </row>
    <row r="25" spans="2:12" ht="15.75" customHeight="1" thickTop="1"/>
    <row r="26" spans="2:12" ht="15.75" customHeight="1"/>
    <row r="27" spans="2:12" ht="15.75" customHeight="1"/>
    <row r="28" spans="2:12" ht="15.75" customHeight="1"/>
    <row r="29" spans="2:12" ht="15.75" customHeight="1"/>
    <row r="30" spans="2:12" ht="15.75" customHeight="1"/>
    <row r="31" spans="2:12" ht="15.75" customHeight="1"/>
    <row r="32" spans="2: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sheetProtection algorithmName="SHA-512" hashValue="s5r9EqHgJaa94aFsz4LR8lUjZYavgn7Q8CHQ9meWvWEn9nzokF3sL5yNplXJFNRl7cyckkGHhoDPhf6X9PSZGg==" saltValue="N6pvJhpZLhmkkpDuCwYwog==" spinCount="100000" sheet="1" objects="1" scenarios="1"/>
  <mergeCells count="12">
    <mergeCell ref="I12:J14"/>
    <mergeCell ref="I15:J17"/>
    <mergeCell ref="B20:D24"/>
    <mergeCell ref="I7:J11"/>
    <mergeCell ref="C8:D8"/>
    <mergeCell ref="C9:D9"/>
    <mergeCell ref="C10:D10"/>
    <mergeCell ref="B1:D1"/>
    <mergeCell ref="C3:D3"/>
    <mergeCell ref="C4:D4"/>
    <mergeCell ref="C5:D5"/>
    <mergeCell ref="C7:D7"/>
  </mergeCells>
  <conditionalFormatting sqref="C10">
    <cfRule type="expression" dxfId="40" priority="1" stopIfTrue="1">
      <formula>"MM/DD/YY"</formula>
    </cfRule>
  </conditionalFormatting>
  <conditionalFormatting sqref="D12">
    <cfRule type="expression" dxfId="39" priority="2">
      <formula>NOT($E$1)</formula>
    </cfRule>
    <cfRule type="expression" dxfId="38" priority="3">
      <formula>$E$1</formula>
    </cfRule>
  </conditionalFormatting>
  <conditionalFormatting sqref="D13">
    <cfRule type="expression" dxfId="37" priority="4">
      <formula>NOT($E$3)</formula>
    </cfRule>
    <cfRule type="expression" dxfId="36" priority="5">
      <formula>$E$3</formula>
    </cfRule>
  </conditionalFormatting>
  <conditionalFormatting sqref="D14">
    <cfRule type="expression" dxfId="35" priority="6">
      <formula>NOT($E$4)</formula>
    </cfRule>
    <cfRule type="expression" dxfId="34" priority="7">
      <formula>$E$4</formula>
    </cfRule>
  </conditionalFormatting>
  <conditionalFormatting sqref="D15">
    <cfRule type="expression" dxfId="33" priority="8">
      <formula>NOT($E$5)</formula>
    </cfRule>
    <cfRule type="expression" dxfId="32" priority="9">
      <formula>$E$5</formula>
    </cfRule>
  </conditionalFormatting>
  <conditionalFormatting sqref="D16">
    <cfRule type="expression" dxfId="31" priority="10">
      <formula>NOT($E$6)</formula>
    </cfRule>
    <cfRule type="expression" dxfId="30" priority="11">
      <formula>$E$6</formula>
    </cfRule>
  </conditionalFormatting>
  <dataValidations xWindow="536" yWindow="640" count="1">
    <dataValidation type="list" allowBlank="1" showInputMessage="1" showErrorMessage="1" prompt="Drop Down List - Choose either percent or lump sum" sqref="C12:C15" xr:uid="{00000000-0002-0000-0400-000000000000}">
      <formula1>$H$16:$H$17</formula1>
    </dataValidation>
  </dataValidations>
  <pageMargins left="0.25" right="0.25" top="0.75" bottom="0.75" header="0" footer="0"/>
  <pageSetup orientation="landscape" cellComments="atEnd"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E08C9-E771-46FF-A8D2-25DE29719F68}">
  <sheetPr codeName="Sheet33">
    <pageSetUpPr fitToPage="1"/>
  </sheetPr>
  <dimension ref="A1:Z988"/>
  <sheetViews>
    <sheetView zoomScale="80" zoomScaleNormal="80" workbookViewId="0">
      <selection sqref="A1:F2"/>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246</v>
      </c>
      <c r="B1" s="387"/>
      <c r="C1" s="387"/>
      <c r="D1" s="387"/>
      <c r="E1" s="387"/>
      <c r="F1" s="387"/>
      <c r="G1" s="258" t="s">
        <v>165</v>
      </c>
      <c r="H1" s="259"/>
      <c r="I1" s="162" t="s">
        <v>166</v>
      </c>
      <c r="J1" s="252"/>
      <c r="K1" s="252"/>
      <c r="L1" s="252"/>
      <c r="M1" s="252"/>
      <c r="N1" s="252"/>
      <c r="O1" s="252"/>
      <c r="P1" s="252"/>
    </row>
    <row r="2" spans="1:26" ht="15" customHeight="1" thickBot="1">
      <c r="A2" s="388"/>
      <c r="B2" s="389"/>
      <c r="C2" s="389"/>
      <c r="D2" s="389"/>
      <c r="E2" s="389"/>
      <c r="F2" s="389"/>
      <c r="G2" s="163" t="str">
        <f>IF(INPUT!C3=0,"",INPUT!C3)</f>
        <v>RLP # 36C248-25-R-0110 – EXHIBIT K</v>
      </c>
      <c r="H2" s="163"/>
      <c r="I2" s="164" t="str">
        <f>IF(INPUT!C10=0,"",INPUT!C10)</f>
        <v/>
      </c>
      <c r="J2" s="252"/>
      <c r="K2" s="252"/>
      <c r="L2" s="252"/>
      <c r="M2" s="252"/>
      <c r="N2" s="252"/>
      <c r="O2" s="252"/>
      <c r="P2" s="252"/>
    </row>
    <row r="3" spans="1:26" s="10" customFormat="1" ht="36" customHeight="1" thickBot="1">
      <c r="A3" s="449" t="s">
        <v>262</v>
      </c>
      <c r="B3" s="450"/>
      <c r="C3" s="450"/>
      <c r="D3" s="450"/>
      <c r="E3" s="450"/>
      <c r="F3" s="450"/>
      <c r="G3" s="450"/>
      <c r="H3" s="450"/>
      <c r="I3" s="451"/>
      <c r="J3" s="253"/>
      <c r="K3" s="253"/>
      <c r="L3" s="253"/>
      <c r="M3" s="253"/>
      <c r="N3" s="253"/>
      <c r="O3" s="253"/>
      <c r="P3" s="253"/>
    </row>
    <row r="4" spans="1:26" s="10" customFormat="1" ht="21.75" customHeight="1">
      <c r="A4" s="456" t="s">
        <v>248</v>
      </c>
      <c r="B4" s="457"/>
      <c r="C4" s="457"/>
      <c r="D4" s="457"/>
      <c r="E4" s="457"/>
      <c r="F4" s="461" t="s">
        <v>249</v>
      </c>
      <c r="G4" s="462"/>
      <c r="H4" s="465" t="s">
        <v>250</v>
      </c>
      <c r="I4" s="466"/>
      <c r="J4" s="253"/>
      <c r="K4" s="253"/>
      <c r="L4" s="253"/>
      <c r="M4" s="253"/>
      <c r="N4" s="253"/>
      <c r="O4" s="253"/>
      <c r="P4" s="253"/>
    </row>
    <row r="5" spans="1:26" s="10" customFormat="1" ht="21.75" customHeight="1" thickBot="1">
      <c r="A5" s="458" t="str">
        <f>IF(F4="Direct Input from Security Unit Price List","Enter the Total Costs from the Security Unit Price List in F5 →",IF(F4="Itemized Costs","Do not enter a value in F5.  Itemize costs below instead.","If entering BSAC values, select method from cell F4 dropdown list."))</f>
        <v>If entering BSAC values, select method from cell F4 dropdown list.</v>
      </c>
      <c r="B5" s="459"/>
      <c r="C5" s="459"/>
      <c r="D5" s="459"/>
      <c r="E5" s="460"/>
      <c r="F5" s="463"/>
      <c r="G5" s="464"/>
      <c r="H5" s="445"/>
      <c r="I5" s="446"/>
      <c r="J5" s="253"/>
      <c r="K5" s="253"/>
      <c r="L5" s="253"/>
      <c r="M5" s="253"/>
      <c r="N5" s="253"/>
      <c r="O5" s="253"/>
      <c r="P5" s="253"/>
    </row>
    <row r="6" spans="1:26" s="10" customFormat="1" ht="17.25" customHeight="1" thickBot="1">
      <c r="A6" s="303"/>
      <c r="B6" s="304"/>
      <c r="C6" s="304"/>
      <c r="D6" s="304"/>
      <c r="E6" s="304"/>
      <c r="F6" s="304"/>
      <c r="G6" s="304"/>
      <c r="H6" s="304"/>
      <c r="I6" s="305"/>
      <c r="J6" s="253"/>
      <c r="K6" s="253"/>
      <c r="L6" s="253"/>
      <c r="M6" s="253"/>
      <c r="N6" s="253"/>
      <c r="O6" s="253"/>
      <c r="P6" s="253"/>
    </row>
    <row r="7" spans="1:26" ht="15.5">
      <c r="A7" s="452" t="s">
        <v>93</v>
      </c>
      <c r="B7" s="453"/>
      <c r="C7" s="390" t="s">
        <v>91</v>
      </c>
      <c r="D7" s="382"/>
      <c r="E7" s="382"/>
      <c r="F7" s="383"/>
      <c r="G7" s="381" t="s">
        <v>92</v>
      </c>
      <c r="H7" s="382"/>
      <c r="I7" s="383"/>
      <c r="J7" s="252"/>
      <c r="K7" s="252"/>
      <c r="L7" s="252"/>
      <c r="M7" s="252"/>
      <c r="N7" s="252"/>
      <c r="O7" s="252"/>
      <c r="P7" s="252"/>
    </row>
    <row r="8" spans="1:26" ht="15.75" customHeight="1" thickBot="1">
      <c r="A8" s="454"/>
      <c r="B8" s="455"/>
      <c r="C8" s="37" t="s">
        <v>129</v>
      </c>
      <c r="D8" s="27" t="s">
        <v>95</v>
      </c>
      <c r="E8" s="28" t="s">
        <v>61</v>
      </c>
      <c r="F8" s="38" t="s">
        <v>79</v>
      </c>
      <c r="G8" s="44" t="s">
        <v>96</v>
      </c>
      <c r="H8" s="30" t="s">
        <v>85</v>
      </c>
      <c r="I8" s="31" t="s">
        <v>79</v>
      </c>
      <c r="J8" s="252"/>
      <c r="K8" s="252"/>
      <c r="L8" s="252"/>
      <c r="M8" s="252"/>
      <c r="N8" s="252"/>
      <c r="O8" s="252"/>
      <c r="P8" s="252"/>
    </row>
    <row r="9" spans="1:26" s="252" customFormat="1" ht="21.75" customHeight="1">
      <c r="A9" s="447" t="s">
        <v>149</v>
      </c>
      <c r="B9" s="448"/>
      <c r="C9" s="288">
        <v>1</v>
      </c>
      <c r="D9" s="289" t="s">
        <v>148</v>
      </c>
      <c r="E9" s="290">
        <v>0</v>
      </c>
      <c r="F9" s="260">
        <f t="shared" ref="F9:F21" si="0">C9*E9</f>
        <v>0</v>
      </c>
      <c r="G9" s="288">
        <v>1</v>
      </c>
      <c r="H9" s="291">
        <v>0</v>
      </c>
      <c r="I9" s="261">
        <f t="shared" ref="I9:I21" si="1">G9*H9</f>
        <v>0</v>
      </c>
      <c r="J9" s="254"/>
      <c r="K9" s="254"/>
      <c r="L9" s="254"/>
      <c r="M9" s="254"/>
      <c r="N9" s="254"/>
      <c r="O9" s="254"/>
      <c r="P9" s="254"/>
      <c r="Q9" s="254"/>
      <c r="R9" s="254"/>
      <c r="S9" s="254"/>
      <c r="T9" s="254"/>
      <c r="U9" s="254"/>
      <c r="V9" s="254"/>
      <c r="W9" s="254"/>
      <c r="X9" s="254"/>
      <c r="Y9" s="254"/>
      <c r="Z9" s="254"/>
    </row>
    <row r="10" spans="1:26" s="252" customFormat="1" ht="21.75" customHeight="1">
      <c r="A10" s="447"/>
      <c r="B10" s="448"/>
      <c r="C10" s="288"/>
      <c r="D10" s="289"/>
      <c r="E10" s="290"/>
      <c r="F10" s="260">
        <f>C10*E10</f>
        <v>0</v>
      </c>
      <c r="G10" s="292"/>
      <c r="H10" s="293"/>
      <c r="I10" s="179">
        <f t="shared" si="1"/>
        <v>0</v>
      </c>
      <c r="J10" s="254"/>
      <c r="K10" s="254"/>
      <c r="L10" s="254"/>
      <c r="M10" s="254"/>
      <c r="N10" s="254"/>
      <c r="O10" s="254"/>
      <c r="P10" s="254"/>
      <c r="Q10" s="254"/>
      <c r="R10" s="254"/>
      <c r="S10" s="254"/>
      <c r="T10" s="254"/>
      <c r="U10" s="254"/>
      <c r="V10" s="254"/>
      <c r="W10" s="254"/>
      <c r="X10" s="254"/>
      <c r="Y10" s="254"/>
      <c r="Z10" s="254"/>
    </row>
    <row r="11" spans="1:26" s="252" customFormat="1" ht="21.75" customHeight="1">
      <c r="A11" s="447"/>
      <c r="B11" s="448"/>
      <c r="C11" s="288"/>
      <c r="D11" s="289"/>
      <c r="E11" s="290"/>
      <c r="F11" s="262">
        <f t="shared" si="0"/>
        <v>0</v>
      </c>
      <c r="G11" s="292"/>
      <c r="H11" s="293"/>
      <c r="I11" s="179">
        <f t="shared" si="1"/>
        <v>0</v>
      </c>
      <c r="J11" s="254"/>
      <c r="K11" s="254"/>
      <c r="L11" s="254"/>
      <c r="M11" s="254"/>
      <c r="N11" s="254"/>
      <c r="O11" s="254"/>
      <c r="P11" s="254"/>
      <c r="Q11" s="254"/>
      <c r="R11" s="254"/>
      <c r="S11" s="254"/>
      <c r="T11" s="254"/>
      <c r="U11" s="254"/>
      <c r="V11" s="254"/>
      <c r="W11" s="254"/>
      <c r="X11" s="254"/>
      <c r="Y11" s="254"/>
      <c r="Z11" s="254"/>
    </row>
    <row r="12" spans="1:26" s="252" customFormat="1" ht="21.75" customHeight="1">
      <c r="A12" s="447"/>
      <c r="B12" s="448"/>
      <c r="C12" s="288"/>
      <c r="D12" s="289"/>
      <c r="E12" s="290"/>
      <c r="F12" s="262">
        <f t="shared" si="0"/>
        <v>0</v>
      </c>
      <c r="G12" s="292"/>
      <c r="H12" s="293"/>
      <c r="I12" s="179">
        <f t="shared" si="1"/>
        <v>0</v>
      </c>
      <c r="J12" s="254"/>
      <c r="K12" s="254"/>
      <c r="L12" s="254"/>
      <c r="M12" s="254"/>
      <c r="N12" s="254"/>
      <c r="O12" s="254"/>
      <c r="P12" s="254"/>
      <c r="Q12" s="254"/>
      <c r="R12" s="254"/>
      <c r="S12" s="254"/>
      <c r="T12" s="254"/>
      <c r="U12" s="254"/>
      <c r="V12" s="254"/>
      <c r="W12" s="254"/>
      <c r="X12" s="254"/>
      <c r="Y12" s="254"/>
      <c r="Z12" s="254"/>
    </row>
    <row r="13" spans="1:26" s="252" customFormat="1" ht="21.75" customHeight="1">
      <c r="A13" s="447"/>
      <c r="B13" s="448"/>
      <c r="C13" s="288"/>
      <c r="D13" s="289"/>
      <c r="E13" s="290"/>
      <c r="F13" s="260">
        <f t="shared" si="0"/>
        <v>0</v>
      </c>
      <c r="G13" s="292"/>
      <c r="H13" s="293"/>
      <c r="I13" s="179">
        <f t="shared" si="1"/>
        <v>0</v>
      </c>
      <c r="J13" s="254"/>
      <c r="K13" s="254"/>
      <c r="L13" s="254"/>
      <c r="M13" s="254"/>
      <c r="N13" s="254"/>
      <c r="O13" s="254"/>
      <c r="P13" s="254"/>
      <c r="Q13" s="254"/>
      <c r="R13" s="254"/>
      <c r="S13" s="254"/>
      <c r="T13" s="254"/>
      <c r="U13" s="254"/>
      <c r="V13" s="254"/>
      <c r="W13" s="254"/>
      <c r="X13" s="254"/>
      <c r="Y13" s="254"/>
      <c r="Z13" s="254"/>
    </row>
    <row r="14" spans="1:26" s="252" customFormat="1" ht="21.75" customHeight="1">
      <c r="A14" s="447"/>
      <c r="B14" s="448"/>
      <c r="C14" s="288"/>
      <c r="D14" s="289"/>
      <c r="E14" s="290"/>
      <c r="F14" s="260">
        <f t="shared" si="0"/>
        <v>0</v>
      </c>
      <c r="G14" s="292"/>
      <c r="H14" s="293"/>
      <c r="I14" s="179">
        <f t="shared" si="1"/>
        <v>0</v>
      </c>
      <c r="J14" s="254"/>
      <c r="K14" s="254"/>
      <c r="L14" s="254"/>
      <c r="M14" s="254"/>
      <c r="N14" s="254"/>
      <c r="O14" s="254"/>
      <c r="P14" s="254"/>
      <c r="Q14" s="254"/>
      <c r="R14" s="254"/>
      <c r="S14" s="254"/>
      <c r="T14" s="254"/>
      <c r="U14" s="254"/>
      <c r="V14" s="254"/>
      <c r="W14" s="254"/>
      <c r="X14" s="254"/>
      <c r="Y14" s="254"/>
      <c r="Z14" s="254"/>
    </row>
    <row r="15" spans="1:26" s="252" customFormat="1" ht="21.75" customHeight="1">
      <c r="A15" s="447"/>
      <c r="B15" s="448"/>
      <c r="C15" s="288"/>
      <c r="D15" s="289"/>
      <c r="E15" s="290"/>
      <c r="F15" s="260">
        <f t="shared" si="0"/>
        <v>0</v>
      </c>
      <c r="G15" s="292"/>
      <c r="H15" s="293"/>
      <c r="I15" s="179">
        <f t="shared" si="1"/>
        <v>0</v>
      </c>
      <c r="J15" s="254"/>
      <c r="K15" s="254"/>
      <c r="L15" s="254"/>
      <c r="M15" s="254"/>
      <c r="N15" s="254"/>
      <c r="O15" s="254"/>
      <c r="P15" s="254"/>
      <c r="Q15" s="254"/>
      <c r="R15" s="254"/>
      <c r="S15" s="254"/>
      <c r="T15" s="254"/>
      <c r="U15" s="254"/>
      <c r="V15" s="254"/>
      <c r="W15" s="254"/>
      <c r="X15" s="254"/>
      <c r="Y15" s="254"/>
      <c r="Z15" s="254"/>
    </row>
    <row r="16" spans="1:26" s="252" customFormat="1" ht="21.75" customHeight="1">
      <c r="A16" s="447"/>
      <c r="B16" s="448"/>
      <c r="C16" s="288"/>
      <c r="D16" s="289"/>
      <c r="E16" s="290"/>
      <c r="F16" s="260">
        <f t="shared" si="0"/>
        <v>0</v>
      </c>
      <c r="G16" s="292"/>
      <c r="H16" s="293"/>
      <c r="I16" s="179">
        <f t="shared" si="1"/>
        <v>0</v>
      </c>
      <c r="J16" s="254"/>
      <c r="K16" s="254"/>
      <c r="L16" s="254"/>
      <c r="M16" s="254"/>
      <c r="N16" s="254"/>
      <c r="O16" s="254"/>
      <c r="P16" s="254"/>
      <c r="Q16" s="254"/>
      <c r="R16" s="254"/>
      <c r="S16" s="254"/>
      <c r="T16" s="254"/>
      <c r="U16" s="254"/>
      <c r="V16" s="254"/>
      <c r="W16" s="254"/>
      <c r="X16" s="254"/>
      <c r="Y16" s="254"/>
      <c r="Z16" s="254"/>
    </row>
    <row r="17" spans="1:26" s="252" customFormat="1" ht="21.75" customHeight="1">
      <c r="A17" s="447"/>
      <c r="B17" s="448"/>
      <c r="C17" s="288"/>
      <c r="D17" s="289"/>
      <c r="E17" s="290"/>
      <c r="F17" s="260">
        <f t="shared" si="0"/>
        <v>0</v>
      </c>
      <c r="G17" s="292"/>
      <c r="H17" s="293"/>
      <c r="I17" s="179">
        <f t="shared" si="1"/>
        <v>0</v>
      </c>
      <c r="J17" s="254"/>
      <c r="K17" s="254"/>
      <c r="L17" s="254"/>
      <c r="M17" s="254"/>
      <c r="N17" s="254"/>
      <c r="O17" s="254"/>
      <c r="P17" s="254"/>
      <c r="Q17" s="254"/>
      <c r="R17" s="254"/>
      <c r="S17" s="254"/>
      <c r="T17" s="254"/>
      <c r="U17" s="254"/>
      <c r="V17" s="254"/>
      <c r="W17" s="254"/>
      <c r="X17" s="254"/>
      <c r="Y17" s="254"/>
      <c r="Z17" s="254"/>
    </row>
    <row r="18" spans="1:26" s="252" customFormat="1" ht="21.75" customHeight="1">
      <c r="A18" s="447"/>
      <c r="B18" s="448"/>
      <c r="C18" s="288"/>
      <c r="D18" s="289"/>
      <c r="E18" s="290"/>
      <c r="F18" s="260">
        <f t="shared" si="0"/>
        <v>0</v>
      </c>
      <c r="G18" s="292"/>
      <c r="H18" s="293"/>
      <c r="I18" s="179">
        <f t="shared" si="1"/>
        <v>0</v>
      </c>
      <c r="J18" s="254"/>
      <c r="K18" s="254"/>
      <c r="L18" s="254"/>
      <c r="M18" s="254"/>
      <c r="N18" s="254"/>
      <c r="O18" s="254"/>
      <c r="P18" s="254"/>
      <c r="Q18" s="254"/>
      <c r="R18" s="254"/>
      <c r="S18" s="254"/>
      <c r="T18" s="254"/>
      <c r="U18" s="254"/>
      <c r="V18" s="254"/>
      <c r="W18" s="254"/>
      <c r="X18" s="254"/>
      <c r="Y18" s="254"/>
      <c r="Z18" s="254"/>
    </row>
    <row r="19" spans="1:26" s="252" customFormat="1" ht="21.75" customHeight="1">
      <c r="A19" s="447"/>
      <c r="B19" s="448"/>
      <c r="C19" s="288"/>
      <c r="D19" s="289"/>
      <c r="E19" s="290"/>
      <c r="F19" s="260">
        <f t="shared" si="0"/>
        <v>0</v>
      </c>
      <c r="G19" s="292"/>
      <c r="H19" s="293"/>
      <c r="I19" s="179">
        <f t="shared" si="1"/>
        <v>0</v>
      </c>
      <c r="J19" s="254"/>
      <c r="K19" s="254"/>
      <c r="L19" s="254"/>
      <c r="M19" s="254"/>
      <c r="N19" s="254"/>
      <c r="O19" s="254"/>
      <c r="P19" s="254"/>
      <c r="Q19" s="254"/>
      <c r="R19" s="254"/>
      <c r="S19" s="254"/>
      <c r="T19" s="254"/>
      <c r="U19" s="254"/>
      <c r="V19" s="254"/>
      <c r="W19" s="254"/>
      <c r="X19" s="254"/>
      <c r="Y19" s="254"/>
      <c r="Z19" s="254"/>
    </row>
    <row r="20" spans="1:26" s="252" customFormat="1" ht="21.75" customHeight="1">
      <c r="A20" s="447"/>
      <c r="B20" s="448"/>
      <c r="C20" s="288"/>
      <c r="D20" s="289"/>
      <c r="E20" s="290"/>
      <c r="F20" s="260">
        <f t="shared" si="0"/>
        <v>0</v>
      </c>
      <c r="G20" s="292"/>
      <c r="H20" s="293"/>
      <c r="I20" s="179">
        <f t="shared" si="1"/>
        <v>0</v>
      </c>
      <c r="J20" s="254"/>
      <c r="K20" s="254"/>
      <c r="L20" s="254"/>
      <c r="M20" s="254"/>
      <c r="N20" s="254"/>
      <c r="O20" s="254"/>
      <c r="P20" s="254"/>
      <c r="Q20" s="254"/>
      <c r="R20" s="254"/>
      <c r="S20" s="254"/>
      <c r="T20" s="254"/>
      <c r="U20" s="254"/>
      <c r="V20" s="254"/>
      <c r="W20" s="254"/>
      <c r="X20" s="254"/>
      <c r="Y20" s="254"/>
      <c r="Z20" s="254"/>
    </row>
    <row r="21" spans="1:26" s="252" customFormat="1" ht="21.75" customHeight="1">
      <c r="A21" s="447"/>
      <c r="B21" s="448"/>
      <c r="C21" s="288"/>
      <c r="D21" s="289"/>
      <c r="E21" s="290"/>
      <c r="F21" s="260">
        <f t="shared" si="0"/>
        <v>0</v>
      </c>
      <c r="G21" s="292"/>
      <c r="H21" s="293"/>
      <c r="I21" s="179">
        <f t="shared" si="1"/>
        <v>0</v>
      </c>
      <c r="J21" s="254"/>
      <c r="K21" s="254"/>
      <c r="L21" s="254"/>
      <c r="M21" s="254"/>
      <c r="N21" s="254"/>
      <c r="O21" s="254"/>
      <c r="P21" s="254"/>
      <c r="Q21" s="254"/>
      <c r="R21" s="254"/>
      <c r="S21" s="254"/>
      <c r="T21" s="254"/>
      <c r="U21" s="254"/>
      <c r="V21" s="254"/>
      <c r="W21" s="254"/>
      <c r="X21" s="254"/>
      <c r="Y21" s="254"/>
      <c r="Z21" s="254"/>
    </row>
    <row r="22" spans="1:26" ht="15.75" customHeight="1" thickBot="1">
      <c r="A22" s="46"/>
      <c r="B22" s="47"/>
      <c r="C22" s="467" t="s">
        <v>122</v>
      </c>
      <c r="D22" s="468"/>
      <c r="E22" s="468"/>
      <c r="F22" s="25">
        <f>SUM(F9:F21)</f>
        <v>0</v>
      </c>
      <c r="G22" s="467" t="s">
        <v>123</v>
      </c>
      <c r="H22" s="468"/>
      <c r="I22" s="25">
        <f>SUM(I9:I21)</f>
        <v>0</v>
      </c>
      <c r="J22" s="255"/>
      <c r="K22" s="255"/>
      <c r="L22" s="255"/>
      <c r="M22" s="255"/>
      <c r="N22" s="255"/>
      <c r="O22" s="255"/>
      <c r="P22" s="255"/>
      <c r="Q22" s="7"/>
      <c r="R22" s="7"/>
      <c r="S22" s="7"/>
      <c r="T22" s="7"/>
      <c r="U22" s="7"/>
      <c r="V22" s="7"/>
      <c r="W22" s="7"/>
      <c r="X22" s="7"/>
      <c r="Y22" s="7"/>
      <c r="Z22" s="7"/>
    </row>
    <row r="23" spans="1:26" ht="20.149999999999999" customHeight="1" thickBot="1">
      <c r="A23" s="469" t="s">
        <v>245</v>
      </c>
      <c r="B23" s="470"/>
      <c r="C23" s="470"/>
      <c r="D23" s="470"/>
      <c r="E23" s="470"/>
      <c r="F23" s="470"/>
      <c r="G23" s="470"/>
      <c r="H23" s="470"/>
      <c r="I23" s="26">
        <f>SUM(I22,F22)</f>
        <v>0</v>
      </c>
      <c r="J23" s="255"/>
      <c r="K23" s="255"/>
      <c r="L23" s="255"/>
      <c r="M23" s="255"/>
      <c r="N23" s="255"/>
      <c r="O23" s="255"/>
      <c r="P23" s="255"/>
      <c r="Q23" s="7"/>
      <c r="R23" s="7"/>
      <c r="S23" s="7"/>
      <c r="T23" s="7"/>
      <c r="U23" s="7"/>
      <c r="V23" s="7"/>
      <c r="W23" s="7"/>
      <c r="X23" s="7"/>
      <c r="Y23" s="7"/>
      <c r="Z23" s="7"/>
    </row>
    <row r="24" spans="1:26" ht="15.75" customHeight="1">
      <c r="A24" s="252"/>
      <c r="B24" s="252"/>
      <c r="C24" s="252"/>
      <c r="D24" s="252"/>
      <c r="E24" s="257"/>
      <c r="F24" s="252"/>
      <c r="G24" s="252"/>
      <c r="H24" s="252"/>
      <c r="I24" s="252"/>
      <c r="J24" s="252"/>
      <c r="K24" s="252"/>
      <c r="L24" s="252"/>
      <c r="M24" s="252"/>
      <c r="N24" s="252"/>
      <c r="O24" s="252"/>
      <c r="P24" s="252"/>
    </row>
    <row r="25" spans="1:26" ht="15.75" customHeight="1">
      <c r="A25" s="252"/>
      <c r="B25" s="252"/>
      <c r="C25" s="252"/>
      <c r="D25" s="252"/>
      <c r="E25" s="257"/>
      <c r="F25" s="252"/>
      <c r="G25" s="252"/>
      <c r="H25" s="252"/>
      <c r="I25" s="252"/>
      <c r="J25" s="252"/>
      <c r="K25" s="252"/>
      <c r="L25" s="252"/>
      <c r="M25" s="252"/>
      <c r="N25" s="252"/>
      <c r="O25" s="252"/>
      <c r="P25" s="252"/>
    </row>
    <row r="26" spans="1:26" ht="15.75" customHeight="1">
      <c r="A26" s="252"/>
      <c r="B26" s="252"/>
      <c r="C26" s="252"/>
      <c r="D26" s="252"/>
      <c r="E26" s="257"/>
      <c r="F26" s="252"/>
      <c r="G26" s="252"/>
      <c r="H26" s="252"/>
      <c r="I26" s="252"/>
      <c r="J26" s="252"/>
      <c r="K26" s="252"/>
      <c r="L26" s="252"/>
      <c r="M26" s="252"/>
      <c r="N26" s="252"/>
      <c r="O26" s="252"/>
      <c r="P26" s="252"/>
    </row>
    <row r="27" spans="1:26" ht="15.75" customHeight="1">
      <c r="A27" s="252"/>
      <c r="B27" s="252"/>
      <c r="C27" s="252"/>
      <c r="D27" s="252"/>
      <c r="E27" s="257"/>
      <c r="F27" s="252"/>
      <c r="G27" s="252"/>
      <c r="H27" s="252"/>
      <c r="I27" s="252"/>
      <c r="J27" s="252"/>
      <c r="K27" s="252"/>
      <c r="L27" s="252"/>
      <c r="M27" s="252"/>
      <c r="N27" s="252"/>
      <c r="O27" s="252"/>
      <c r="P27" s="252"/>
    </row>
    <row r="28" spans="1:26" ht="15.75" customHeight="1">
      <c r="A28" s="252"/>
      <c r="B28" s="252"/>
      <c r="C28" s="252"/>
      <c r="D28" s="252"/>
      <c r="E28" s="257"/>
      <c r="F28" s="252"/>
      <c r="G28" s="252"/>
      <c r="H28" s="252"/>
      <c r="I28" s="252"/>
      <c r="J28" s="252"/>
      <c r="K28" s="252"/>
      <c r="L28" s="252"/>
      <c r="M28" s="252"/>
      <c r="N28" s="252"/>
      <c r="O28" s="252"/>
      <c r="P28" s="252"/>
    </row>
    <row r="29" spans="1:26" ht="15.75" customHeight="1">
      <c r="A29" s="252"/>
      <c r="B29" s="252"/>
      <c r="C29" s="252"/>
      <c r="D29" s="252"/>
      <c r="E29" s="257"/>
      <c r="F29" s="252"/>
      <c r="G29" s="252"/>
      <c r="H29" s="252"/>
      <c r="I29" s="252"/>
      <c r="J29" s="252"/>
      <c r="K29" s="252"/>
      <c r="L29" s="252"/>
      <c r="M29" s="252"/>
      <c r="N29" s="252"/>
      <c r="O29" s="252"/>
      <c r="P29" s="252"/>
    </row>
    <row r="30" spans="1:26" ht="15.75" customHeight="1">
      <c r="A30" s="252"/>
      <c r="B30" s="252"/>
      <c r="C30" s="252"/>
      <c r="D30" s="252"/>
      <c r="E30" s="257"/>
      <c r="F30" s="252"/>
      <c r="G30" s="252"/>
      <c r="H30" s="252"/>
      <c r="I30" s="252"/>
      <c r="J30" s="252"/>
      <c r="K30" s="252"/>
      <c r="L30" s="252"/>
      <c r="M30" s="252"/>
      <c r="N30" s="252"/>
      <c r="O30" s="252"/>
      <c r="P30" s="252"/>
    </row>
    <row r="31" spans="1:26" ht="15.75" customHeight="1">
      <c r="A31" s="252"/>
      <c r="B31" s="252"/>
      <c r="C31" s="252"/>
      <c r="D31" s="252"/>
      <c r="E31" s="257"/>
      <c r="F31" s="252"/>
      <c r="G31" s="252"/>
      <c r="H31" s="252"/>
      <c r="I31" s="252"/>
      <c r="J31" s="252"/>
      <c r="K31" s="252"/>
      <c r="L31" s="252"/>
      <c r="M31" s="252"/>
      <c r="N31" s="252"/>
      <c r="O31" s="252"/>
      <c r="P31" s="252"/>
    </row>
    <row r="32" spans="1:26" ht="15.75" customHeight="1">
      <c r="A32" s="252"/>
      <c r="B32" s="252"/>
      <c r="C32" s="252"/>
      <c r="D32" s="252"/>
      <c r="E32" s="257"/>
      <c r="F32" s="252"/>
      <c r="G32" s="252"/>
      <c r="H32" s="252"/>
      <c r="I32" s="252"/>
      <c r="J32" s="252"/>
      <c r="K32" s="252"/>
      <c r="L32" s="252"/>
      <c r="M32" s="252"/>
      <c r="N32" s="252"/>
      <c r="O32" s="252"/>
      <c r="P32" s="252"/>
    </row>
    <row r="33" spans="1:16" ht="15.75" customHeight="1">
      <c r="A33" s="252"/>
      <c r="B33" s="252"/>
      <c r="C33" s="252"/>
      <c r="D33" s="252"/>
      <c r="E33" s="257"/>
      <c r="F33" s="252"/>
      <c r="G33" s="252"/>
      <c r="H33" s="252"/>
      <c r="I33" s="252"/>
      <c r="J33" s="252"/>
      <c r="K33" s="252"/>
      <c r="L33" s="252"/>
      <c r="M33" s="252"/>
      <c r="N33" s="252"/>
      <c r="O33" s="252"/>
      <c r="P33" s="252"/>
    </row>
    <row r="34" spans="1:16" ht="15.75" customHeight="1">
      <c r="A34" s="252"/>
      <c r="B34" s="252"/>
      <c r="C34" s="252"/>
      <c r="D34" s="252"/>
      <c r="E34" s="257"/>
      <c r="F34" s="252"/>
      <c r="G34" s="252"/>
      <c r="H34" s="252"/>
      <c r="I34" s="252"/>
      <c r="J34" s="252"/>
      <c r="K34" s="252"/>
      <c r="L34" s="252"/>
      <c r="M34" s="252"/>
      <c r="N34" s="252"/>
      <c r="O34" s="252"/>
      <c r="P34" s="252"/>
    </row>
    <row r="35" spans="1:16" ht="15.75" customHeight="1">
      <c r="A35" s="252"/>
      <c r="B35" s="252"/>
      <c r="C35" s="252"/>
      <c r="D35" s="252"/>
      <c r="E35" s="257"/>
      <c r="F35" s="252"/>
      <c r="G35" s="252"/>
      <c r="H35" s="252"/>
      <c r="I35" s="252"/>
      <c r="J35" s="252"/>
      <c r="K35" s="252"/>
      <c r="L35" s="252"/>
      <c r="M35" s="252"/>
      <c r="N35" s="252"/>
      <c r="O35" s="252"/>
      <c r="P35" s="252"/>
    </row>
    <row r="36" spans="1:16" ht="15.75" customHeight="1">
      <c r="A36" s="252"/>
      <c r="B36" s="252"/>
      <c r="C36" s="252"/>
      <c r="D36" s="252"/>
      <c r="E36" s="257"/>
      <c r="F36" s="252"/>
      <c r="G36" s="252"/>
      <c r="H36" s="252"/>
      <c r="I36" s="252"/>
      <c r="J36" s="252"/>
      <c r="K36" s="252"/>
      <c r="L36" s="252"/>
      <c r="M36" s="252"/>
      <c r="N36" s="252"/>
      <c r="O36" s="252"/>
      <c r="P36" s="252"/>
    </row>
    <row r="37" spans="1:16" ht="15.75" customHeight="1">
      <c r="A37" s="252"/>
      <c r="B37" s="252"/>
      <c r="C37" s="252"/>
      <c r="D37" s="252"/>
      <c r="E37" s="257"/>
      <c r="F37" s="252"/>
      <c r="G37" s="252"/>
      <c r="H37" s="252"/>
      <c r="I37" s="252"/>
      <c r="J37" s="252"/>
      <c r="K37" s="252"/>
      <c r="L37" s="252"/>
      <c r="M37" s="252"/>
      <c r="N37" s="252"/>
      <c r="O37" s="252"/>
      <c r="P37" s="252"/>
    </row>
    <row r="38" spans="1:16" ht="15.75" customHeight="1">
      <c r="A38" s="252"/>
      <c r="B38" s="252"/>
      <c r="C38" s="252"/>
      <c r="D38" s="252"/>
      <c r="E38" s="257"/>
      <c r="F38" s="252"/>
      <c r="G38" s="252"/>
      <c r="H38" s="252"/>
      <c r="I38" s="252"/>
      <c r="J38" s="252"/>
      <c r="K38" s="252"/>
      <c r="L38" s="252"/>
      <c r="M38" s="252"/>
      <c r="N38" s="252"/>
      <c r="O38" s="252"/>
      <c r="P38" s="252"/>
    </row>
    <row r="39" spans="1:16" ht="15.75" customHeight="1">
      <c r="A39" s="252"/>
      <c r="B39" s="252"/>
      <c r="C39" s="252"/>
      <c r="D39" s="252"/>
      <c r="E39" s="257"/>
      <c r="F39" s="252"/>
      <c r="G39" s="252"/>
      <c r="H39" s="252"/>
      <c r="I39" s="252"/>
      <c r="J39" s="252"/>
      <c r="K39" s="252"/>
      <c r="L39" s="252"/>
      <c r="M39" s="252"/>
      <c r="N39" s="252"/>
      <c r="O39" s="252"/>
      <c r="P39" s="252"/>
    </row>
    <row r="40" spans="1:16" ht="15.75" customHeight="1">
      <c r="A40" s="252"/>
      <c r="B40" s="252"/>
      <c r="C40" s="252"/>
      <c r="D40" s="252"/>
      <c r="E40" s="257"/>
      <c r="F40" s="252"/>
      <c r="G40" s="252"/>
      <c r="H40" s="252"/>
      <c r="I40" s="252"/>
      <c r="J40" s="252"/>
      <c r="K40" s="252"/>
      <c r="L40" s="252"/>
      <c r="M40" s="252"/>
      <c r="N40" s="252"/>
      <c r="O40" s="252"/>
      <c r="P40" s="252"/>
    </row>
    <row r="41" spans="1:16" ht="15.75" customHeight="1">
      <c r="A41" s="252"/>
      <c r="B41" s="252"/>
      <c r="C41" s="252"/>
      <c r="D41" s="252"/>
      <c r="E41" s="257"/>
      <c r="F41" s="252"/>
      <c r="G41" s="252"/>
      <c r="H41" s="252"/>
      <c r="I41" s="252"/>
      <c r="J41" s="252"/>
      <c r="K41" s="252"/>
      <c r="L41" s="252"/>
      <c r="M41" s="252"/>
      <c r="N41" s="252"/>
      <c r="O41" s="252"/>
      <c r="P41" s="252"/>
    </row>
    <row r="42" spans="1:16" ht="15.75" customHeight="1">
      <c r="A42" s="252"/>
      <c r="B42" s="252"/>
      <c r="C42" s="252"/>
      <c r="D42" s="252"/>
      <c r="E42" s="257"/>
      <c r="F42" s="252"/>
      <c r="G42" s="252"/>
      <c r="H42" s="252"/>
      <c r="I42" s="252"/>
      <c r="J42" s="252"/>
      <c r="K42" s="252"/>
      <c r="L42" s="252"/>
      <c r="M42" s="252"/>
      <c r="N42" s="252"/>
      <c r="O42" s="252"/>
      <c r="P42" s="252"/>
    </row>
    <row r="43" spans="1:16" ht="15.75" customHeight="1">
      <c r="A43" s="252"/>
      <c r="B43" s="252"/>
      <c r="C43" s="252"/>
      <c r="D43" s="252"/>
      <c r="E43" s="257"/>
      <c r="F43" s="252"/>
      <c r="G43" s="252"/>
      <c r="H43" s="252"/>
      <c r="I43" s="252"/>
      <c r="J43" s="252"/>
      <c r="K43" s="252"/>
      <c r="L43" s="252"/>
      <c r="M43" s="252"/>
      <c r="N43" s="252"/>
      <c r="O43" s="252"/>
      <c r="P43" s="252"/>
    </row>
    <row r="44" spans="1:16" ht="15.75" customHeight="1">
      <c r="A44" s="252"/>
      <c r="B44" s="252"/>
      <c r="C44" s="252"/>
      <c r="D44" s="252"/>
      <c r="E44" s="257"/>
      <c r="F44" s="252"/>
      <c r="G44" s="252"/>
      <c r="H44" s="252"/>
      <c r="I44" s="252"/>
      <c r="J44" s="252"/>
      <c r="K44" s="252"/>
      <c r="L44" s="252"/>
      <c r="M44" s="252"/>
      <c r="N44" s="252"/>
      <c r="O44" s="252"/>
      <c r="P44" s="252"/>
    </row>
    <row r="45" spans="1:16" ht="15.75" customHeight="1">
      <c r="A45" s="252"/>
      <c r="B45" s="252"/>
      <c r="C45" s="252"/>
      <c r="D45" s="252"/>
      <c r="E45" s="257"/>
      <c r="F45" s="252"/>
      <c r="G45" s="252"/>
      <c r="H45" s="252"/>
      <c r="I45" s="252"/>
      <c r="J45" s="252"/>
      <c r="K45" s="252"/>
      <c r="L45" s="252"/>
      <c r="M45" s="252"/>
      <c r="N45" s="252"/>
      <c r="O45" s="252"/>
      <c r="P45" s="252"/>
    </row>
    <row r="46" spans="1:16" ht="15.75" customHeight="1">
      <c r="E46" s="9"/>
    </row>
    <row r="47" spans="1:16" ht="15.75" customHeight="1">
      <c r="E47" s="9"/>
    </row>
    <row r="48" spans="1:16" ht="15.75" customHeight="1">
      <c r="E48" s="9"/>
    </row>
    <row r="49" spans="5:5" ht="15.75" customHeight="1">
      <c r="E49" s="9"/>
    </row>
    <row r="50" spans="5:5" ht="15.75" customHeight="1">
      <c r="E50" s="9"/>
    </row>
    <row r="51" spans="5:5" ht="15.75" customHeight="1">
      <c r="E51" s="9"/>
    </row>
    <row r="52" spans="5:5" ht="15.75" customHeight="1">
      <c r="E52" s="9"/>
    </row>
    <row r="53" spans="5:5" ht="15.75" customHeight="1">
      <c r="E53" s="9"/>
    </row>
    <row r="54" spans="5:5" ht="15.75" customHeight="1">
      <c r="E54" s="9"/>
    </row>
    <row r="55" spans="5:5" ht="15.75" customHeight="1">
      <c r="E55" s="9"/>
    </row>
    <row r="56" spans="5:5" ht="15.75" customHeight="1">
      <c r="E56" s="9"/>
    </row>
    <row r="57" spans="5:5" ht="15.75" customHeight="1">
      <c r="E57" s="9"/>
    </row>
    <row r="58" spans="5:5" ht="15.75" customHeight="1">
      <c r="E58" s="9"/>
    </row>
    <row r="59" spans="5:5" ht="15.75" customHeight="1">
      <c r="E59" s="9"/>
    </row>
    <row r="60" spans="5:5" ht="15.75" customHeight="1">
      <c r="E60" s="9"/>
    </row>
    <row r="61" spans="5:5" ht="15.75" customHeight="1">
      <c r="E61" s="9"/>
    </row>
    <row r="62" spans="5:5" ht="15.75" customHeight="1">
      <c r="E62" s="9"/>
    </row>
    <row r="63" spans="5:5" ht="15.75" customHeight="1">
      <c r="E63" s="9"/>
    </row>
    <row r="64" spans="5: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sheetData>
  <sheetProtection insertRows="0"/>
  <mergeCells count="27">
    <mergeCell ref="C22:E22"/>
    <mergeCell ref="G22:H22"/>
    <mergeCell ref="A23:H23"/>
    <mergeCell ref="A21:B21"/>
    <mergeCell ref="A10:B10"/>
    <mergeCell ref="A11:B11"/>
    <mergeCell ref="A12:B12"/>
    <mergeCell ref="A13:B13"/>
    <mergeCell ref="A14:B14"/>
    <mergeCell ref="A15:B15"/>
    <mergeCell ref="A16:B16"/>
    <mergeCell ref="A17:B17"/>
    <mergeCell ref="A18:B18"/>
    <mergeCell ref="A19:B19"/>
    <mergeCell ref="A20:B20"/>
    <mergeCell ref="H5:I5"/>
    <mergeCell ref="A9:B9"/>
    <mergeCell ref="A1:F2"/>
    <mergeCell ref="A3:I3"/>
    <mergeCell ref="A7:B8"/>
    <mergeCell ref="C7:F7"/>
    <mergeCell ref="G7:I7"/>
    <mergeCell ref="A4:E4"/>
    <mergeCell ref="A5:E5"/>
    <mergeCell ref="F4:G4"/>
    <mergeCell ref="F5:G5"/>
    <mergeCell ref="H4:I4"/>
  </mergeCells>
  <conditionalFormatting sqref="A5:E5">
    <cfRule type="expression" dxfId="29" priority="1">
      <formula>$F$4="Direct Input from Security Unit Price List"</formula>
    </cfRule>
    <cfRule type="expression" dxfId="28" priority="2">
      <formula>$F$4="Itemized Costs"</formula>
    </cfRule>
  </conditionalFormatting>
  <conditionalFormatting sqref="A9:I23">
    <cfRule type="expression" dxfId="27" priority="3">
      <formula>$F$4="Direct Input from Security Unit Price List"</formula>
    </cfRule>
  </conditionalFormatting>
  <conditionalFormatting sqref="F5:G5">
    <cfRule type="expression" dxfId="26" priority="4">
      <formula>$F$4="Itemized Costs"</formula>
    </cfRule>
  </conditionalFormatting>
  <conditionalFormatting sqref="G2:H2">
    <cfRule type="expression" dxfId="25" priority="5" stopIfTrue="1">
      <formula>"MM/DD/YY"</formula>
    </cfRule>
  </conditionalFormatting>
  <dataValidations xWindow="715" yWindow="402" count="1">
    <dataValidation type="list" allowBlank="1" showInputMessage="1" showErrorMessage="1" prompt="Drop Down List - Choose either N/A, Itemized Costs, or Direct Input" sqref="F4:G4" xr:uid="{766B705C-94C8-4800-B101-68AC15A53986}">
      <formula1>"N/A,Itemized Costs,Direct Input from Security Unit Price List"</formula1>
    </dataValidation>
  </dataValidations>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33793" r:id="rId4" name="CommandButton1">
          <controlPr defaultSize="0" autoLine="0" altText="Add A Row Command Button" r:id="rId5">
            <anchor moveWithCells="1">
              <from>
                <xdr:col>9</xdr:col>
                <xdr:colOff>222250</xdr:colOff>
                <xdr:row>20</xdr:row>
                <xdr:rowOff>12700</xdr:rowOff>
              </from>
              <to>
                <xdr:col>11</xdr:col>
                <xdr:colOff>349250</xdr:colOff>
                <xdr:row>21</xdr:row>
                <xdr:rowOff>25400</xdr:rowOff>
              </to>
            </anchor>
          </controlPr>
        </control>
      </mc:Choice>
      <mc:Fallback>
        <control shapeId="33793" r:id="rId4" name="CommandButton1"/>
      </mc:Fallback>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CF95F-955D-405F-94EF-ADC1900FA4A2}">
  <sheetPr codeName="Sheet32">
    <pageSetUpPr fitToPage="1"/>
  </sheetPr>
  <dimension ref="A1:Z1003"/>
  <sheetViews>
    <sheetView topLeftCell="C6" zoomScaleNormal="10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142</v>
      </c>
      <c r="B1" s="387"/>
      <c r="C1" s="387"/>
      <c r="D1" s="387"/>
      <c r="E1" s="387"/>
      <c r="F1" s="387"/>
      <c r="G1" s="258" t="s">
        <v>165</v>
      </c>
      <c r="H1" s="259"/>
      <c r="I1" s="162" t="s">
        <v>166</v>
      </c>
      <c r="J1" s="252"/>
      <c r="K1" s="252"/>
      <c r="L1" s="252"/>
      <c r="M1" s="252"/>
      <c r="N1" s="252"/>
      <c r="O1" s="252"/>
      <c r="P1" s="252"/>
    </row>
    <row r="2" spans="1:26" ht="15" customHeight="1" thickBot="1">
      <c r="A2" s="388"/>
      <c r="B2" s="389"/>
      <c r="C2" s="389"/>
      <c r="D2" s="389"/>
      <c r="E2" s="389"/>
      <c r="F2" s="389"/>
      <c r="G2" s="163" t="str">
        <f>IF(INPUT!C3=0,"",INPUT!C3)</f>
        <v>RLP # 36C248-25-R-0110 – EXHIBIT K</v>
      </c>
      <c r="H2" s="163"/>
      <c r="I2" s="164" t="str">
        <f>IF(INPUT!C10=0,"",INPUT!C10)</f>
        <v/>
      </c>
      <c r="J2" s="252"/>
      <c r="K2" s="252"/>
      <c r="L2" s="252"/>
      <c r="M2" s="252"/>
      <c r="N2" s="252"/>
      <c r="O2" s="252"/>
      <c r="P2" s="252"/>
    </row>
    <row r="3" spans="1:26" s="10" customFormat="1" ht="36" customHeight="1" thickBot="1">
      <c r="A3" s="480" t="s">
        <v>240</v>
      </c>
      <c r="B3" s="402"/>
      <c r="C3" s="402"/>
      <c r="D3" s="402"/>
      <c r="E3" s="402"/>
      <c r="F3" s="402"/>
      <c r="G3" s="402"/>
      <c r="H3" s="402"/>
      <c r="I3" s="403"/>
      <c r="J3" s="253"/>
      <c r="K3" s="253"/>
      <c r="L3" s="253"/>
      <c r="M3" s="253"/>
      <c r="N3" s="253"/>
      <c r="O3" s="253"/>
      <c r="P3" s="253"/>
    </row>
    <row r="4" spans="1:26" ht="15.5">
      <c r="A4" s="452" t="s">
        <v>93</v>
      </c>
      <c r="B4" s="453"/>
      <c r="C4" s="390" t="s">
        <v>91</v>
      </c>
      <c r="D4" s="382"/>
      <c r="E4" s="382"/>
      <c r="F4" s="383"/>
      <c r="G4" s="381" t="s">
        <v>92</v>
      </c>
      <c r="H4" s="382"/>
      <c r="I4" s="383"/>
      <c r="J4" s="252"/>
      <c r="K4" s="252"/>
      <c r="L4" s="252"/>
      <c r="M4" s="252"/>
      <c r="N4" s="252"/>
      <c r="O4" s="252"/>
      <c r="P4" s="252"/>
    </row>
    <row r="5" spans="1:26" ht="15.75" customHeight="1" thickBot="1">
      <c r="A5" s="454"/>
      <c r="B5" s="455"/>
      <c r="C5" s="37" t="s">
        <v>129</v>
      </c>
      <c r="D5" s="27" t="s">
        <v>95</v>
      </c>
      <c r="E5" s="28" t="s">
        <v>61</v>
      </c>
      <c r="F5" s="38" t="s">
        <v>79</v>
      </c>
      <c r="G5" s="44" t="s">
        <v>96</v>
      </c>
      <c r="H5" s="30" t="s">
        <v>85</v>
      </c>
      <c r="I5" s="31" t="s">
        <v>79</v>
      </c>
      <c r="J5" s="252"/>
      <c r="K5" s="252"/>
      <c r="L5" s="252"/>
      <c r="M5" s="252"/>
      <c r="N5" s="252"/>
      <c r="O5" s="252"/>
      <c r="P5" s="252"/>
    </row>
    <row r="6" spans="1:26" s="252" customFormat="1" ht="21.75" customHeight="1">
      <c r="A6" s="476" t="s">
        <v>149</v>
      </c>
      <c r="B6" s="472"/>
      <c r="C6" s="34">
        <v>1</v>
      </c>
      <c r="D6" s="19" t="s">
        <v>148</v>
      </c>
      <c r="E6" s="11">
        <v>0</v>
      </c>
      <c r="F6" s="278">
        <f t="shared" ref="F6:F17" si="0">C6*E6</f>
        <v>0</v>
      </c>
      <c r="G6" s="34">
        <v>1</v>
      </c>
      <c r="H6" s="17">
        <v>0</v>
      </c>
      <c r="I6" s="279">
        <f t="shared" ref="I6:I17" si="1">G6*H6</f>
        <v>0</v>
      </c>
      <c r="J6" s="254"/>
      <c r="K6" s="254"/>
      <c r="L6" s="254"/>
      <c r="M6" s="254"/>
      <c r="N6" s="254"/>
      <c r="O6" s="254"/>
      <c r="P6" s="254"/>
      <c r="Q6" s="254"/>
      <c r="R6" s="254"/>
      <c r="S6" s="254"/>
      <c r="T6" s="254"/>
      <c r="U6" s="254"/>
      <c r="V6" s="254"/>
      <c r="W6" s="254"/>
      <c r="X6" s="254"/>
      <c r="Y6" s="254"/>
      <c r="Z6" s="254"/>
    </row>
    <row r="7" spans="1:26" s="252" customFormat="1" ht="21.75" customHeight="1">
      <c r="A7" s="476"/>
      <c r="B7" s="472"/>
      <c r="C7" s="34"/>
      <c r="D7" s="19"/>
      <c r="E7" s="11"/>
      <c r="F7" s="278">
        <f>C7*E7</f>
        <v>0</v>
      </c>
      <c r="G7" s="43"/>
      <c r="H7" s="18"/>
      <c r="I7" s="280">
        <f t="shared" si="1"/>
        <v>0</v>
      </c>
      <c r="J7" s="254"/>
      <c r="K7" s="254"/>
      <c r="L7" s="254"/>
      <c r="M7" s="254"/>
      <c r="N7" s="254"/>
      <c r="O7" s="254"/>
      <c r="P7" s="254"/>
      <c r="Q7" s="254"/>
      <c r="R7" s="254"/>
      <c r="S7" s="254"/>
      <c r="T7" s="254"/>
      <c r="U7" s="254"/>
      <c r="V7" s="254"/>
      <c r="W7" s="254"/>
      <c r="X7" s="254"/>
      <c r="Y7" s="254"/>
      <c r="Z7" s="254"/>
    </row>
    <row r="8" spans="1:26" s="252" customFormat="1" ht="21.75" customHeight="1">
      <c r="A8" s="476"/>
      <c r="B8" s="472"/>
      <c r="C8" s="34"/>
      <c r="D8" s="19"/>
      <c r="E8" s="11"/>
      <c r="F8" s="281">
        <f t="shared" si="0"/>
        <v>0</v>
      </c>
      <c r="G8" s="43"/>
      <c r="H8" s="18"/>
      <c r="I8" s="280">
        <f t="shared" si="1"/>
        <v>0</v>
      </c>
      <c r="J8" s="254"/>
      <c r="K8" s="254"/>
      <c r="L8" s="254"/>
      <c r="M8" s="254"/>
      <c r="N8" s="254"/>
      <c r="O8" s="254"/>
      <c r="P8" s="254"/>
      <c r="Q8" s="254"/>
      <c r="R8" s="254"/>
      <c r="S8" s="254"/>
      <c r="T8" s="254"/>
      <c r="U8" s="254"/>
      <c r="V8" s="254"/>
      <c r="W8" s="254"/>
      <c r="X8" s="254"/>
      <c r="Y8" s="254"/>
      <c r="Z8" s="254"/>
    </row>
    <row r="9" spans="1:26" s="252" customFormat="1" ht="21.75" customHeight="1">
      <c r="A9" s="476"/>
      <c r="B9" s="472"/>
      <c r="C9" s="34"/>
      <c r="D9" s="19"/>
      <c r="E9" s="11"/>
      <c r="F9" s="281">
        <f t="shared" si="0"/>
        <v>0</v>
      </c>
      <c r="G9" s="43"/>
      <c r="H9" s="18"/>
      <c r="I9" s="280">
        <f t="shared" si="1"/>
        <v>0</v>
      </c>
      <c r="J9" s="254"/>
      <c r="K9" s="254"/>
      <c r="L9" s="254"/>
      <c r="M9" s="254"/>
      <c r="N9" s="254"/>
      <c r="O9" s="254"/>
      <c r="P9" s="254"/>
      <c r="Q9" s="254"/>
      <c r="R9" s="254"/>
      <c r="S9" s="254"/>
      <c r="T9" s="254"/>
      <c r="U9" s="254"/>
      <c r="V9" s="254"/>
      <c r="W9" s="254"/>
      <c r="X9" s="254"/>
      <c r="Y9" s="254"/>
      <c r="Z9" s="254"/>
    </row>
    <row r="10" spans="1:26" s="252" customFormat="1" ht="21.75" customHeight="1">
      <c r="A10" s="476"/>
      <c r="B10" s="472"/>
      <c r="C10" s="34"/>
      <c r="D10" s="19"/>
      <c r="E10" s="11"/>
      <c r="F10" s="278">
        <f t="shared" si="0"/>
        <v>0</v>
      </c>
      <c r="G10" s="43"/>
      <c r="H10" s="18"/>
      <c r="I10" s="280">
        <f t="shared" si="1"/>
        <v>0</v>
      </c>
      <c r="J10" s="254"/>
      <c r="K10" s="254"/>
      <c r="L10" s="254"/>
      <c r="M10" s="254"/>
      <c r="N10" s="254"/>
      <c r="O10" s="254"/>
      <c r="P10" s="254"/>
      <c r="Q10" s="254"/>
      <c r="R10" s="254"/>
      <c r="S10" s="254"/>
      <c r="T10" s="254"/>
      <c r="U10" s="254"/>
      <c r="V10" s="254"/>
      <c r="W10" s="254"/>
      <c r="X10" s="254"/>
      <c r="Y10" s="254"/>
      <c r="Z10" s="254"/>
    </row>
    <row r="11" spans="1:26" s="252" customFormat="1" ht="21.75" customHeight="1">
      <c r="A11" s="476"/>
      <c r="B11" s="472"/>
      <c r="C11" s="34"/>
      <c r="D11" s="19"/>
      <c r="E11" s="11"/>
      <c r="F11" s="278">
        <f t="shared" ref="F11" si="2">C11*E11</f>
        <v>0</v>
      </c>
      <c r="G11" s="43"/>
      <c r="H11" s="18"/>
      <c r="I11" s="280">
        <f t="shared" ref="I11" si="3">G11*H11</f>
        <v>0</v>
      </c>
      <c r="J11" s="254"/>
      <c r="K11" s="254"/>
      <c r="L11" s="254"/>
      <c r="M11" s="254"/>
      <c r="N11" s="254"/>
      <c r="O11" s="254"/>
      <c r="P11" s="254"/>
      <c r="Q11" s="254"/>
      <c r="R11" s="254"/>
      <c r="S11" s="254"/>
      <c r="T11" s="254"/>
      <c r="U11" s="254"/>
      <c r="V11" s="254"/>
      <c r="W11" s="254"/>
      <c r="X11" s="254"/>
      <c r="Y11" s="254"/>
      <c r="Z11" s="254"/>
    </row>
    <row r="12" spans="1:26" s="252" customFormat="1" ht="21.75" customHeight="1">
      <c r="A12" s="476"/>
      <c r="B12" s="472"/>
      <c r="C12" s="34"/>
      <c r="D12" s="19"/>
      <c r="E12" s="11"/>
      <c r="F12" s="278">
        <f t="shared" ref="F12" si="4">C12*E12</f>
        <v>0</v>
      </c>
      <c r="G12" s="43"/>
      <c r="H12" s="18"/>
      <c r="I12" s="280">
        <f t="shared" ref="I12" si="5">G12*H12</f>
        <v>0</v>
      </c>
      <c r="J12" s="254"/>
      <c r="K12" s="254"/>
      <c r="L12" s="254"/>
      <c r="M12" s="254"/>
      <c r="N12" s="254"/>
      <c r="O12" s="254"/>
      <c r="P12" s="254"/>
      <c r="Q12" s="254"/>
      <c r="R12" s="254"/>
      <c r="S12" s="254"/>
      <c r="T12" s="254"/>
      <c r="U12" s="254"/>
      <c r="V12" s="254"/>
      <c r="W12" s="254"/>
      <c r="X12" s="254"/>
      <c r="Y12" s="254"/>
      <c r="Z12" s="254"/>
    </row>
    <row r="13" spans="1:26" s="252" customFormat="1" ht="21.75" customHeight="1">
      <c r="A13" s="476"/>
      <c r="B13" s="472"/>
      <c r="C13" s="34"/>
      <c r="D13" s="19"/>
      <c r="E13" s="11"/>
      <c r="F13" s="278">
        <f t="shared" ref="F13" si="6">C13*E13</f>
        <v>0</v>
      </c>
      <c r="G13" s="43"/>
      <c r="H13" s="18"/>
      <c r="I13" s="280">
        <f t="shared" ref="I13" si="7">G13*H13</f>
        <v>0</v>
      </c>
      <c r="J13" s="254"/>
      <c r="K13" s="254"/>
      <c r="L13" s="254"/>
      <c r="M13" s="254"/>
      <c r="N13" s="254"/>
      <c r="O13" s="254"/>
      <c r="P13" s="254"/>
      <c r="Q13" s="254"/>
      <c r="R13" s="254"/>
      <c r="S13" s="254"/>
      <c r="T13" s="254"/>
      <c r="U13" s="254"/>
      <c r="V13" s="254"/>
      <c r="W13" s="254"/>
      <c r="X13" s="254"/>
      <c r="Y13" s="254"/>
      <c r="Z13" s="254"/>
    </row>
    <row r="14" spans="1:26" s="252" customFormat="1" ht="21.75" customHeight="1">
      <c r="A14" s="476"/>
      <c r="B14" s="472"/>
      <c r="C14" s="34"/>
      <c r="D14" s="19"/>
      <c r="E14" s="11"/>
      <c r="F14" s="278">
        <f t="shared" si="0"/>
        <v>0</v>
      </c>
      <c r="G14" s="43"/>
      <c r="H14" s="18"/>
      <c r="I14" s="280">
        <f t="shared" si="1"/>
        <v>0</v>
      </c>
      <c r="J14" s="254"/>
      <c r="K14" s="254"/>
      <c r="L14" s="254"/>
      <c r="M14" s="254"/>
      <c r="N14" s="254"/>
      <c r="O14" s="254"/>
      <c r="P14" s="254"/>
      <c r="Q14" s="254"/>
      <c r="R14" s="254"/>
      <c r="S14" s="254"/>
      <c r="T14" s="254"/>
      <c r="U14" s="254"/>
      <c r="V14" s="254"/>
      <c r="W14" s="254"/>
      <c r="X14" s="254"/>
      <c r="Y14" s="254"/>
      <c r="Z14" s="254"/>
    </row>
    <row r="15" spans="1:26" s="252" customFormat="1" ht="21.75" customHeight="1">
      <c r="A15" s="476"/>
      <c r="B15" s="472"/>
      <c r="C15" s="34"/>
      <c r="D15" s="19"/>
      <c r="E15" s="11"/>
      <c r="F15" s="278">
        <f t="shared" si="0"/>
        <v>0</v>
      </c>
      <c r="G15" s="43"/>
      <c r="H15" s="18"/>
      <c r="I15" s="280">
        <f t="shared" si="1"/>
        <v>0</v>
      </c>
      <c r="J15" s="254"/>
      <c r="K15" s="254"/>
      <c r="L15" s="254"/>
      <c r="M15" s="254"/>
      <c r="N15" s="254"/>
      <c r="O15" s="254"/>
      <c r="P15" s="254"/>
      <c r="Q15" s="254"/>
      <c r="R15" s="254"/>
      <c r="S15" s="254"/>
      <c r="T15" s="254"/>
      <c r="U15" s="254"/>
      <c r="V15" s="254"/>
      <c r="W15" s="254"/>
      <c r="X15" s="254"/>
      <c r="Y15" s="254"/>
      <c r="Z15" s="254"/>
    </row>
    <row r="16" spans="1:26" s="252" customFormat="1" ht="21.75" customHeight="1">
      <c r="A16" s="476"/>
      <c r="B16" s="472"/>
      <c r="C16" s="34"/>
      <c r="D16" s="19"/>
      <c r="E16" s="11"/>
      <c r="F16" s="278">
        <f t="shared" ref="F16" si="8">C16*E16</f>
        <v>0</v>
      </c>
      <c r="G16" s="43"/>
      <c r="H16" s="18"/>
      <c r="I16" s="280">
        <f t="shared" ref="I16" si="9">G16*H16</f>
        <v>0</v>
      </c>
      <c r="J16" s="254"/>
      <c r="K16" s="254"/>
      <c r="L16" s="254"/>
      <c r="M16" s="254"/>
      <c r="N16" s="254"/>
      <c r="O16" s="254"/>
      <c r="P16" s="254"/>
      <c r="Q16" s="254"/>
      <c r="R16" s="254"/>
      <c r="S16" s="254"/>
      <c r="T16" s="254"/>
      <c r="U16" s="254"/>
      <c r="V16" s="254"/>
      <c r="W16" s="254"/>
      <c r="X16" s="254"/>
      <c r="Y16" s="254"/>
      <c r="Z16" s="254"/>
    </row>
    <row r="17" spans="1:26" s="252" customFormat="1" ht="21.75" customHeight="1">
      <c r="A17" s="476"/>
      <c r="B17" s="472"/>
      <c r="C17" s="34"/>
      <c r="D17" s="19"/>
      <c r="E17" s="11"/>
      <c r="F17" s="278">
        <f t="shared" si="0"/>
        <v>0</v>
      </c>
      <c r="G17" s="43"/>
      <c r="H17" s="18"/>
      <c r="I17" s="280">
        <f t="shared" si="1"/>
        <v>0</v>
      </c>
      <c r="J17" s="254"/>
      <c r="K17" s="254"/>
      <c r="L17" s="254"/>
      <c r="M17" s="254"/>
      <c r="N17" s="254"/>
      <c r="O17" s="254"/>
      <c r="P17" s="254"/>
      <c r="Q17" s="254"/>
      <c r="R17" s="254"/>
      <c r="S17" s="254"/>
      <c r="T17" s="254"/>
      <c r="U17" s="254"/>
      <c r="V17" s="254"/>
      <c r="W17" s="254"/>
      <c r="X17" s="254"/>
      <c r="Y17" s="254"/>
      <c r="Z17" s="254"/>
    </row>
    <row r="18" spans="1:26" s="252" customFormat="1" ht="21.75" customHeight="1">
      <c r="A18" s="476"/>
      <c r="B18" s="472"/>
      <c r="C18" s="34"/>
      <c r="D18" s="19"/>
      <c r="E18" s="11"/>
      <c r="F18" s="278">
        <f t="shared" ref="F18" si="10">C18*E18</f>
        <v>0</v>
      </c>
      <c r="G18" s="43"/>
      <c r="H18" s="18"/>
      <c r="I18" s="280">
        <f t="shared" ref="I18" si="11">G18*H18</f>
        <v>0</v>
      </c>
      <c r="J18" s="254"/>
      <c r="K18" s="254"/>
      <c r="L18" s="254"/>
      <c r="M18" s="254"/>
      <c r="N18" s="254"/>
      <c r="O18" s="254"/>
      <c r="P18" s="254"/>
      <c r="Q18" s="254"/>
      <c r="R18" s="254"/>
      <c r="S18" s="254"/>
      <c r="T18" s="254"/>
      <c r="U18" s="254"/>
      <c r="V18" s="254"/>
      <c r="W18" s="254"/>
      <c r="X18" s="254"/>
      <c r="Y18" s="254"/>
      <c r="Z18" s="254"/>
    </row>
    <row r="19" spans="1:26" ht="15.75" customHeight="1" thickBot="1">
      <c r="A19" s="46"/>
      <c r="B19" s="47"/>
      <c r="C19" s="467" t="s">
        <v>122</v>
      </c>
      <c r="D19" s="468"/>
      <c r="E19" s="468"/>
      <c r="F19" s="25">
        <f>SUM(F6:F18)</f>
        <v>0</v>
      </c>
      <c r="G19" s="467" t="s">
        <v>123</v>
      </c>
      <c r="H19" s="468"/>
      <c r="I19" s="25">
        <f>SUM(I6:I18)</f>
        <v>0</v>
      </c>
      <c r="J19" s="255"/>
      <c r="K19" s="255"/>
      <c r="L19" s="255"/>
      <c r="M19" s="255"/>
      <c r="N19" s="255"/>
      <c r="O19" s="255"/>
      <c r="P19" s="255"/>
      <c r="Q19" s="7"/>
      <c r="R19" s="7"/>
      <c r="S19" s="7"/>
      <c r="T19" s="7"/>
      <c r="U19" s="7"/>
      <c r="V19" s="7"/>
      <c r="W19" s="7"/>
      <c r="X19" s="7"/>
      <c r="Y19" s="7"/>
      <c r="Z19" s="7"/>
    </row>
    <row r="20" spans="1:26" ht="20.149999999999999" customHeight="1" thickBot="1">
      <c r="A20" s="469" t="s">
        <v>125</v>
      </c>
      <c r="B20" s="470"/>
      <c r="C20" s="470"/>
      <c r="D20" s="470"/>
      <c r="E20" s="470"/>
      <c r="F20" s="470"/>
      <c r="G20" s="470"/>
      <c r="H20" s="470"/>
      <c r="I20" s="26">
        <f>SUM(I19,F19)</f>
        <v>0</v>
      </c>
      <c r="J20" s="255"/>
      <c r="K20" s="255"/>
      <c r="L20" s="255"/>
      <c r="M20" s="255"/>
      <c r="N20" s="255"/>
      <c r="O20" s="255"/>
      <c r="P20" s="255"/>
      <c r="Q20" s="7"/>
      <c r="R20" s="7"/>
      <c r="S20" s="7"/>
      <c r="T20" s="7"/>
      <c r="U20" s="7"/>
      <c r="V20" s="7"/>
      <c r="W20" s="7"/>
      <c r="X20" s="7"/>
      <c r="Y20" s="7"/>
      <c r="Z20" s="7"/>
    </row>
    <row r="21" spans="1:26" ht="36" customHeight="1" thickBot="1">
      <c r="A21" s="477" t="s">
        <v>241</v>
      </c>
      <c r="B21" s="478"/>
      <c r="C21" s="478"/>
      <c r="D21" s="478"/>
      <c r="E21" s="478"/>
      <c r="F21" s="478"/>
      <c r="G21" s="478"/>
      <c r="H21" s="478"/>
      <c r="I21" s="479"/>
      <c r="J21" s="255"/>
      <c r="K21" s="255"/>
      <c r="L21" s="255"/>
      <c r="M21" s="255"/>
      <c r="N21" s="255"/>
      <c r="O21" s="255"/>
      <c r="P21" s="255"/>
      <c r="Q21" s="7"/>
      <c r="R21" s="7"/>
      <c r="S21" s="7"/>
      <c r="T21" s="7"/>
      <c r="U21" s="7"/>
      <c r="V21" s="7"/>
      <c r="W21" s="7"/>
      <c r="X21" s="7"/>
      <c r="Y21" s="7"/>
      <c r="Z21" s="7"/>
    </row>
    <row r="22" spans="1:26" ht="15.5">
      <c r="A22" s="452" t="s">
        <v>93</v>
      </c>
      <c r="B22" s="453"/>
      <c r="C22" s="390" t="s">
        <v>91</v>
      </c>
      <c r="D22" s="382"/>
      <c r="E22" s="382"/>
      <c r="F22" s="383"/>
      <c r="G22" s="381" t="s">
        <v>92</v>
      </c>
      <c r="H22" s="382"/>
      <c r="I22" s="383"/>
      <c r="J22" s="256"/>
      <c r="K22" s="256"/>
      <c r="L22" s="256"/>
      <c r="M22" s="256"/>
      <c r="N22" s="256"/>
      <c r="O22" s="256"/>
      <c r="P22" s="256"/>
      <c r="Q22" s="8"/>
      <c r="R22" s="8"/>
      <c r="S22" s="8"/>
      <c r="T22" s="8"/>
      <c r="U22" s="8"/>
      <c r="V22" s="8"/>
      <c r="W22" s="8"/>
      <c r="X22" s="8"/>
      <c r="Y22" s="8"/>
      <c r="Z22" s="8"/>
    </row>
    <row r="23" spans="1:26" ht="15.75" customHeight="1" thickBot="1">
      <c r="A23" s="454"/>
      <c r="B23" s="455"/>
      <c r="C23" s="37" t="s">
        <v>129</v>
      </c>
      <c r="D23" s="27" t="s">
        <v>95</v>
      </c>
      <c r="E23" s="28" t="s">
        <v>61</v>
      </c>
      <c r="F23" s="38" t="s">
        <v>79</v>
      </c>
      <c r="G23" s="44" t="s">
        <v>96</v>
      </c>
      <c r="H23" s="30" t="s">
        <v>85</v>
      </c>
      <c r="I23" s="31" t="s">
        <v>79</v>
      </c>
      <c r="J23" s="256"/>
      <c r="K23" s="256"/>
      <c r="L23" s="256"/>
      <c r="M23" s="256"/>
      <c r="N23" s="256"/>
      <c r="O23" s="256"/>
      <c r="P23" s="256"/>
      <c r="Q23" s="8"/>
      <c r="R23" s="8"/>
      <c r="S23" s="8"/>
      <c r="T23" s="8"/>
      <c r="U23" s="8"/>
      <c r="V23" s="8"/>
      <c r="W23" s="8"/>
      <c r="X23" s="8"/>
      <c r="Y23" s="8"/>
      <c r="Z23" s="8"/>
    </row>
    <row r="24" spans="1:26" s="252" customFormat="1" ht="21.75" customHeight="1">
      <c r="A24" s="471"/>
      <c r="B24" s="472"/>
      <c r="C24" s="39">
        <v>1</v>
      </c>
      <c r="D24" s="20"/>
      <c r="E24" s="12">
        <v>0</v>
      </c>
      <c r="F24" s="282">
        <f t="shared" ref="F24:F36" si="12">C24*E24</f>
        <v>0</v>
      </c>
      <c r="G24" s="39">
        <v>1</v>
      </c>
      <c r="H24" s="12">
        <v>0</v>
      </c>
      <c r="I24" s="283">
        <f t="shared" ref="I24:I36" si="13">G24*H24</f>
        <v>0</v>
      </c>
    </row>
    <row r="25" spans="1:26" s="252" customFormat="1" ht="21.75" customHeight="1">
      <c r="A25" s="471"/>
      <c r="B25" s="472"/>
      <c r="C25" s="39"/>
      <c r="D25" s="20"/>
      <c r="E25" s="12"/>
      <c r="F25" s="282">
        <f t="shared" si="12"/>
        <v>0</v>
      </c>
      <c r="G25" s="39"/>
      <c r="H25" s="12"/>
      <c r="I25" s="284">
        <f t="shared" si="13"/>
        <v>0</v>
      </c>
    </row>
    <row r="26" spans="1:26" s="252" customFormat="1" ht="21.75" customHeight="1">
      <c r="A26" s="471"/>
      <c r="B26" s="472"/>
      <c r="C26" s="39"/>
      <c r="D26" s="20"/>
      <c r="E26" s="12"/>
      <c r="F26" s="282">
        <f t="shared" si="12"/>
        <v>0</v>
      </c>
      <c r="G26" s="39"/>
      <c r="H26" s="12"/>
      <c r="I26" s="284">
        <f t="shared" si="13"/>
        <v>0</v>
      </c>
    </row>
    <row r="27" spans="1:26" s="252" customFormat="1" ht="21.75" customHeight="1">
      <c r="A27" s="471"/>
      <c r="B27" s="472"/>
      <c r="C27" s="39"/>
      <c r="D27" s="20"/>
      <c r="E27" s="12"/>
      <c r="F27" s="282">
        <f t="shared" si="12"/>
        <v>0</v>
      </c>
      <c r="G27" s="39"/>
      <c r="H27" s="12"/>
      <c r="I27" s="284">
        <f t="shared" si="13"/>
        <v>0</v>
      </c>
    </row>
    <row r="28" spans="1:26" s="252" customFormat="1" ht="21.75" customHeight="1">
      <c r="A28" s="471"/>
      <c r="B28" s="472"/>
      <c r="C28" s="39"/>
      <c r="D28" s="20"/>
      <c r="E28" s="12"/>
      <c r="F28" s="282">
        <f t="shared" si="12"/>
        <v>0</v>
      </c>
      <c r="G28" s="39"/>
      <c r="H28" s="12"/>
      <c r="I28" s="284">
        <f t="shared" si="13"/>
        <v>0</v>
      </c>
    </row>
    <row r="29" spans="1:26" s="252" customFormat="1" ht="21.75" customHeight="1">
      <c r="A29" s="471"/>
      <c r="B29" s="472"/>
      <c r="C29" s="39"/>
      <c r="D29" s="20"/>
      <c r="E29" s="12"/>
      <c r="F29" s="282">
        <f t="shared" si="12"/>
        <v>0</v>
      </c>
      <c r="G29" s="39"/>
      <c r="H29" s="12"/>
      <c r="I29" s="284">
        <f t="shared" si="13"/>
        <v>0</v>
      </c>
    </row>
    <row r="30" spans="1:26" s="252" customFormat="1" ht="21.75" customHeight="1">
      <c r="A30" s="471"/>
      <c r="B30" s="472"/>
      <c r="C30" s="39"/>
      <c r="D30" s="20"/>
      <c r="E30" s="12"/>
      <c r="F30" s="282">
        <f t="shared" si="12"/>
        <v>0</v>
      </c>
      <c r="G30" s="39"/>
      <c r="H30" s="12"/>
      <c r="I30" s="284">
        <f t="shared" si="13"/>
        <v>0</v>
      </c>
    </row>
    <row r="31" spans="1:26" s="252" customFormat="1" ht="21.75" customHeight="1">
      <c r="A31" s="471"/>
      <c r="B31" s="472"/>
      <c r="C31" s="39"/>
      <c r="D31" s="20"/>
      <c r="E31" s="12"/>
      <c r="F31" s="282">
        <f t="shared" si="12"/>
        <v>0</v>
      </c>
      <c r="G31" s="39"/>
      <c r="H31" s="12"/>
      <c r="I31" s="284">
        <f t="shared" si="13"/>
        <v>0</v>
      </c>
    </row>
    <row r="32" spans="1:26" s="252" customFormat="1" ht="21.75" customHeight="1">
      <c r="A32" s="471"/>
      <c r="B32" s="472"/>
      <c r="C32" s="39"/>
      <c r="D32" s="20"/>
      <c r="E32" s="12"/>
      <c r="F32" s="282">
        <f t="shared" si="12"/>
        <v>0</v>
      </c>
      <c r="G32" s="39"/>
      <c r="H32" s="12"/>
      <c r="I32" s="284">
        <f t="shared" si="13"/>
        <v>0</v>
      </c>
    </row>
    <row r="33" spans="1:16" s="252" customFormat="1" ht="21.75" customHeight="1">
      <c r="A33" s="471"/>
      <c r="B33" s="472"/>
      <c r="C33" s="39"/>
      <c r="D33" s="20"/>
      <c r="E33" s="12"/>
      <c r="F33" s="282">
        <f t="shared" si="12"/>
        <v>0</v>
      </c>
      <c r="G33" s="39"/>
      <c r="H33" s="12"/>
      <c r="I33" s="284">
        <f t="shared" si="13"/>
        <v>0</v>
      </c>
    </row>
    <row r="34" spans="1:16" s="252" customFormat="1" ht="21.75" customHeight="1">
      <c r="A34" s="471"/>
      <c r="B34" s="472"/>
      <c r="C34" s="39"/>
      <c r="D34" s="20"/>
      <c r="E34" s="12"/>
      <c r="F34" s="282">
        <f t="shared" si="12"/>
        <v>0</v>
      </c>
      <c r="G34" s="39"/>
      <c r="H34" s="12"/>
      <c r="I34" s="284">
        <f t="shared" si="13"/>
        <v>0</v>
      </c>
    </row>
    <row r="35" spans="1:16" s="252" customFormat="1" ht="21.75" customHeight="1">
      <c r="A35" s="471"/>
      <c r="B35" s="472"/>
      <c r="C35" s="39"/>
      <c r="D35" s="20"/>
      <c r="E35" s="12"/>
      <c r="F35" s="282">
        <f t="shared" si="12"/>
        <v>0</v>
      </c>
      <c r="G35" s="39"/>
      <c r="H35" s="12"/>
      <c r="I35" s="284">
        <f t="shared" si="13"/>
        <v>0</v>
      </c>
    </row>
    <row r="36" spans="1:16" s="252" customFormat="1" ht="21.75" customHeight="1">
      <c r="A36" s="471"/>
      <c r="B36" s="472"/>
      <c r="C36" s="41"/>
      <c r="D36" s="21"/>
      <c r="E36" s="13"/>
      <c r="F36" s="285">
        <f t="shared" si="12"/>
        <v>0</v>
      </c>
      <c r="G36" s="41"/>
      <c r="H36" s="13"/>
      <c r="I36" s="286">
        <f t="shared" si="13"/>
        <v>0</v>
      </c>
    </row>
    <row r="37" spans="1:16" ht="15.75" customHeight="1" thickBot="1">
      <c r="A37" s="46"/>
      <c r="B37" s="47"/>
      <c r="C37" s="473" t="s">
        <v>122</v>
      </c>
      <c r="D37" s="474"/>
      <c r="E37" s="475"/>
      <c r="F37" s="266">
        <f>SUM(F24:F36)</f>
        <v>0</v>
      </c>
      <c r="G37" s="473" t="s">
        <v>123</v>
      </c>
      <c r="H37" s="475"/>
      <c r="I37" s="266">
        <f>SUM(I24:I36)</f>
        <v>0</v>
      </c>
      <c r="J37" s="252"/>
      <c r="K37" s="252"/>
      <c r="L37" s="252"/>
      <c r="M37" s="252"/>
      <c r="N37" s="252"/>
      <c r="O37" s="252"/>
      <c r="P37" s="252"/>
    </row>
    <row r="38" spans="1:16" ht="20.149999999999999" customHeight="1" thickBot="1">
      <c r="A38" s="469" t="s">
        <v>124</v>
      </c>
      <c r="B38" s="470"/>
      <c r="C38" s="470"/>
      <c r="D38" s="470"/>
      <c r="E38" s="470"/>
      <c r="F38" s="470"/>
      <c r="G38" s="470"/>
      <c r="H38" s="470"/>
      <c r="I38" s="267">
        <f>SUM(I37,F37)</f>
        <v>0</v>
      </c>
      <c r="J38" s="252"/>
      <c r="K38" s="252"/>
      <c r="L38" s="252"/>
      <c r="M38" s="252"/>
      <c r="N38" s="252"/>
      <c r="O38" s="252"/>
      <c r="P38" s="252"/>
    </row>
    <row r="39" spans="1:16" ht="15.75" customHeight="1">
      <c r="A39" s="252"/>
      <c r="B39" s="252"/>
      <c r="C39" s="252"/>
      <c r="D39" s="252"/>
      <c r="E39" s="257"/>
      <c r="F39" s="252"/>
      <c r="G39" s="252"/>
      <c r="H39" s="252"/>
      <c r="I39" s="252"/>
      <c r="J39" s="252"/>
      <c r="K39" s="252"/>
      <c r="L39" s="252"/>
      <c r="M39" s="252"/>
      <c r="N39" s="252"/>
      <c r="O39" s="252"/>
      <c r="P39" s="252"/>
    </row>
    <row r="40" spans="1:16" ht="15.75" customHeight="1">
      <c r="A40" s="252"/>
      <c r="B40" s="252"/>
      <c r="C40" s="252"/>
      <c r="D40" s="252"/>
      <c r="E40" s="257"/>
      <c r="F40" s="252"/>
      <c r="G40" s="252"/>
      <c r="H40" s="252"/>
      <c r="I40" s="252"/>
      <c r="J40" s="252"/>
      <c r="K40" s="252"/>
      <c r="L40" s="252"/>
      <c r="M40" s="252"/>
      <c r="N40" s="252"/>
      <c r="O40" s="252"/>
      <c r="P40" s="252"/>
    </row>
    <row r="41" spans="1:16" ht="15.75" customHeight="1">
      <c r="A41" s="252"/>
      <c r="B41" s="252"/>
      <c r="C41" s="252"/>
      <c r="D41" s="252"/>
      <c r="E41" s="257"/>
      <c r="F41" s="252"/>
      <c r="G41" s="252"/>
      <c r="H41" s="252"/>
      <c r="I41" s="252"/>
      <c r="J41" s="252"/>
      <c r="K41" s="252"/>
      <c r="L41" s="252"/>
      <c r="M41" s="252"/>
      <c r="N41" s="252"/>
      <c r="O41" s="252"/>
      <c r="P41" s="252"/>
    </row>
    <row r="42" spans="1:16" ht="15.75" customHeight="1">
      <c r="A42" s="252"/>
      <c r="B42" s="252"/>
      <c r="C42" s="252"/>
      <c r="D42" s="252"/>
      <c r="E42" s="257"/>
      <c r="F42" s="252"/>
      <c r="G42" s="252"/>
      <c r="H42" s="252"/>
      <c r="I42" s="252"/>
      <c r="J42" s="252"/>
      <c r="K42" s="252"/>
      <c r="L42" s="252"/>
      <c r="M42" s="252"/>
      <c r="N42" s="252"/>
      <c r="O42" s="252"/>
      <c r="P42" s="252"/>
    </row>
    <row r="43" spans="1:16" ht="15.75" customHeight="1">
      <c r="A43" s="252"/>
      <c r="B43" s="252"/>
      <c r="C43" s="252"/>
      <c r="D43" s="252"/>
      <c r="E43" s="257"/>
      <c r="F43" s="252"/>
      <c r="G43" s="252"/>
      <c r="H43" s="252"/>
      <c r="I43" s="252"/>
      <c r="J43" s="252"/>
      <c r="K43" s="252"/>
      <c r="L43" s="252"/>
      <c r="M43" s="252"/>
      <c r="N43" s="252"/>
      <c r="O43" s="252"/>
      <c r="P43" s="252"/>
    </row>
    <row r="44" spans="1:16" ht="15.75" customHeight="1">
      <c r="A44" s="252"/>
      <c r="B44" s="252"/>
      <c r="C44" s="252"/>
      <c r="D44" s="252"/>
      <c r="E44" s="257"/>
      <c r="F44" s="252"/>
      <c r="G44" s="252"/>
      <c r="H44" s="252"/>
      <c r="I44" s="252"/>
      <c r="J44" s="252"/>
      <c r="K44" s="252"/>
      <c r="L44" s="252"/>
      <c r="M44" s="252"/>
      <c r="N44" s="252"/>
      <c r="O44" s="252"/>
      <c r="P44" s="252"/>
    </row>
    <row r="45" spans="1:16" ht="15.75" customHeight="1">
      <c r="A45" s="252"/>
      <c r="B45" s="252"/>
      <c r="C45" s="252"/>
      <c r="D45" s="252"/>
      <c r="E45" s="257"/>
      <c r="F45" s="252"/>
      <c r="G45" s="252"/>
      <c r="H45" s="252"/>
      <c r="I45" s="252"/>
      <c r="J45" s="252"/>
      <c r="K45" s="252"/>
      <c r="L45" s="252"/>
      <c r="M45" s="252"/>
      <c r="N45" s="252"/>
      <c r="O45" s="252"/>
      <c r="P45" s="252"/>
    </row>
    <row r="46" spans="1:16" ht="15.75" customHeight="1">
      <c r="A46" s="252"/>
      <c r="B46" s="252"/>
      <c r="C46" s="252"/>
      <c r="D46" s="252"/>
      <c r="E46" s="257"/>
      <c r="F46" s="252"/>
      <c r="G46" s="252"/>
      <c r="H46" s="252"/>
      <c r="I46" s="252"/>
      <c r="J46" s="252"/>
      <c r="K46" s="252"/>
      <c r="L46" s="252"/>
      <c r="M46" s="252"/>
      <c r="N46" s="252"/>
      <c r="O46" s="252"/>
      <c r="P46" s="252"/>
    </row>
    <row r="47" spans="1:16" ht="15.75" customHeight="1">
      <c r="A47" s="252"/>
      <c r="B47" s="252"/>
      <c r="C47" s="252"/>
      <c r="D47" s="252"/>
      <c r="E47" s="257"/>
      <c r="F47" s="252"/>
      <c r="G47" s="252"/>
      <c r="H47" s="252"/>
      <c r="I47" s="252"/>
      <c r="J47" s="252"/>
      <c r="K47" s="252"/>
      <c r="L47" s="252"/>
      <c r="M47" s="252"/>
      <c r="N47" s="252"/>
      <c r="O47" s="252"/>
      <c r="P47" s="252"/>
    </row>
    <row r="48" spans="1:16" ht="15.75" customHeight="1">
      <c r="A48" s="252"/>
      <c r="B48" s="252"/>
      <c r="C48" s="252"/>
      <c r="D48" s="252"/>
      <c r="E48" s="257"/>
      <c r="F48" s="252"/>
      <c r="G48" s="252"/>
      <c r="H48" s="252"/>
      <c r="I48" s="252"/>
      <c r="J48" s="252"/>
      <c r="K48" s="252"/>
      <c r="L48" s="252"/>
      <c r="M48" s="252"/>
      <c r="N48" s="252"/>
      <c r="O48" s="252"/>
      <c r="P48" s="252"/>
    </row>
    <row r="49" spans="1:16" ht="15.75" customHeight="1">
      <c r="A49" s="252"/>
      <c r="B49" s="252"/>
      <c r="C49" s="252"/>
      <c r="D49" s="252"/>
      <c r="E49" s="257"/>
      <c r="F49" s="252"/>
      <c r="G49" s="252"/>
      <c r="H49" s="252"/>
      <c r="I49" s="252"/>
      <c r="J49" s="252"/>
      <c r="K49" s="252"/>
      <c r="L49" s="252"/>
      <c r="M49" s="252"/>
      <c r="N49" s="252"/>
      <c r="O49" s="252"/>
      <c r="P49" s="252"/>
    </row>
    <row r="50" spans="1:16" ht="15.75" customHeight="1">
      <c r="A50" s="252"/>
      <c r="B50" s="252"/>
      <c r="C50" s="252"/>
      <c r="D50" s="252"/>
      <c r="E50" s="257"/>
      <c r="F50" s="252"/>
      <c r="G50" s="252"/>
      <c r="H50" s="252"/>
      <c r="I50" s="252"/>
      <c r="J50" s="252"/>
      <c r="K50" s="252"/>
      <c r="L50" s="252"/>
      <c r="M50" s="252"/>
      <c r="N50" s="252"/>
      <c r="O50" s="252"/>
      <c r="P50" s="252"/>
    </row>
    <row r="51" spans="1:16" ht="15.75" customHeight="1">
      <c r="A51" s="252"/>
      <c r="B51" s="252"/>
      <c r="C51" s="252"/>
      <c r="D51" s="252"/>
      <c r="E51" s="257"/>
      <c r="F51" s="252"/>
      <c r="G51" s="252"/>
      <c r="H51" s="252"/>
      <c r="I51" s="252"/>
      <c r="J51" s="252"/>
      <c r="K51" s="252"/>
      <c r="L51" s="252"/>
      <c r="M51" s="252"/>
      <c r="N51" s="252"/>
      <c r="O51" s="252"/>
      <c r="P51" s="252"/>
    </row>
    <row r="52" spans="1:16" ht="15.75" customHeight="1">
      <c r="A52" s="252"/>
      <c r="B52" s="252"/>
      <c r="C52" s="252"/>
      <c r="D52" s="252"/>
      <c r="E52" s="257"/>
      <c r="F52" s="252"/>
      <c r="G52" s="252"/>
      <c r="H52" s="252"/>
      <c r="I52" s="252"/>
      <c r="J52" s="252"/>
      <c r="K52" s="252"/>
      <c r="L52" s="252"/>
      <c r="M52" s="252"/>
      <c r="N52" s="252"/>
      <c r="O52" s="252"/>
      <c r="P52" s="252"/>
    </row>
    <row r="53" spans="1:16" ht="15.75" customHeight="1">
      <c r="A53" s="252"/>
      <c r="B53" s="252"/>
      <c r="C53" s="252"/>
      <c r="D53" s="252"/>
      <c r="E53" s="257"/>
      <c r="F53" s="252"/>
      <c r="G53" s="252"/>
      <c r="H53" s="252"/>
      <c r="I53" s="252"/>
      <c r="J53" s="252"/>
      <c r="K53" s="252"/>
      <c r="L53" s="252"/>
      <c r="M53" s="252"/>
      <c r="N53" s="252"/>
      <c r="O53" s="252"/>
      <c r="P53" s="252"/>
    </row>
    <row r="54" spans="1:16" ht="15.75" customHeight="1">
      <c r="A54" s="252"/>
      <c r="B54" s="252"/>
      <c r="C54" s="252"/>
      <c r="D54" s="252"/>
      <c r="E54" s="257"/>
      <c r="F54" s="252"/>
      <c r="G54" s="252"/>
      <c r="H54" s="252"/>
      <c r="I54" s="252"/>
      <c r="J54" s="252"/>
      <c r="K54" s="252"/>
      <c r="L54" s="252"/>
      <c r="M54" s="252"/>
      <c r="N54" s="252"/>
      <c r="O54" s="252"/>
      <c r="P54" s="252"/>
    </row>
    <row r="55" spans="1:16" ht="15.75" customHeight="1">
      <c r="A55" s="252"/>
      <c r="B55" s="252"/>
      <c r="C55" s="252"/>
      <c r="D55" s="252"/>
      <c r="E55" s="257"/>
      <c r="F55" s="252"/>
      <c r="G55" s="252"/>
      <c r="H55" s="252"/>
      <c r="I55" s="252"/>
      <c r="J55" s="252"/>
      <c r="K55" s="252"/>
      <c r="L55" s="252"/>
      <c r="M55" s="252"/>
      <c r="N55" s="252"/>
      <c r="O55" s="252"/>
      <c r="P55" s="252"/>
    </row>
    <row r="56" spans="1:16" ht="15.75" customHeight="1">
      <c r="A56" s="252"/>
      <c r="B56" s="252"/>
      <c r="C56" s="252"/>
      <c r="D56" s="252"/>
      <c r="E56" s="257"/>
      <c r="F56" s="252"/>
      <c r="G56" s="252"/>
      <c r="H56" s="252"/>
      <c r="I56" s="252"/>
      <c r="J56" s="252"/>
      <c r="K56" s="252"/>
      <c r="L56" s="252"/>
      <c r="M56" s="252"/>
      <c r="N56" s="252"/>
      <c r="O56" s="252"/>
      <c r="P56" s="252"/>
    </row>
    <row r="57" spans="1:16" ht="15.75" customHeight="1">
      <c r="A57" s="252"/>
      <c r="B57" s="252"/>
      <c r="C57" s="252"/>
      <c r="D57" s="252"/>
      <c r="E57" s="257"/>
      <c r="F57" s="252"/>
      <c r="G57" s="252"/>
      <c r="H57" s="252"/>
      <c r="I57" s="252"/>
      <c r="J57" s="252"/>
      <c r="K57" s="252"/>
      <c r="L57" s="252"/>
      <c r="M57" s="252"/>
      <c r="N57" s="252"/>
      <c r="O57" s="252"/>
      <c r="P57" s="252"/>
    </row>
    <row r="58" spans="1:16" ht="15.75" customHeight="1">
      <c r="A58" s="252"/>
      <c r="B58" s="252"/>
      <c r="C58" s="252"/>
      <c r="D58" s="252"/>
      <c r="E58" s="257"/>
      <c r="F58" s="252"/>
      <c r="G58" s="252"/>
      <c r="H58" s="252"/>
      <c r="I58" s="252"/>
      <c r="J58" s="252"/>
      <c r="K58" s="252"/>
      <c r="L58" s="252"/>
      <c r="M58" s="252"/>
      <c r="N58" s="252"/>
      <c r="O58" s="252"/>
      <c r="P58" s="252"/>
    </row>
    <row r="59" spans="1:16" ht="15.75" customHeight="1">
      <c r="A59" s="252"/>
      <c r="B59" s="252"/>
      <c r="C59" s="252"/>
      <c r="D59" s="252"/>
      <c r="E59" s="257"/>
      <c r="F59" s="252"/>
      <c r="G59" s="252"/>
      <c r="H59" s="252"/>
      <c r="I59" s="252"/>
      <c r="J59" s="252"/>
      <c r="K59" s="252"/>
      <c r="L59" s="252"/>
      <c r="M59" s="252"/>
      <c r="N59" s="252"/>
      <c r="O59" s="252"/>
      <c r="P59" s="252"/>
    </row>
    <row r="60" spans="1:16" ht="15.75" customHeight="1">
      <c r="A60" s="252"/>
      <c r="B60" s="252"/>
      <c r="C60" s="252"/>
      <c r="D60" s="252"/>
      <c r="E60" s="257"/>
      <c r="F60" s="252"/>
      <c r="G60" s="252"/>
      <c r="H60" s="252"/>
      <c r="I60" s="252"/>
      <c r="J60" s="252"/>
      <c r="K60" s="252"/>
      <c r="L60" s="252"/>
      <c r="M60" s="252"/>
      <c r="N60" s="252"/>
      <c r="O60" s="252"/>
      <c r="P60" s="252"/>
    </row>
    <row r="61" spans="1:16" ht="15.75" customHeight="1">
      <c r="E61" s="9"/>
    </row>
    <row r="62" spans="1:16" ht="15.75" customHeight="1">
      <c r="E62" s="9"/>
    </row>
    <row r="63" spans="1:16" ht="15.75" customHeight="1">
      <c r="E63" s="9"/>
    </row>
    <row r="64" spans="1:16"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sheetProtection insertRows="0"/>
  <mergeCells count="41">
    <mergeCell ref="A3:I3"/>
    <mergeCell ref="A4:B5"/>
    <mergeCell ref="C4:F4"/>
    <mergeCell ref="G4:I4"/>
    <mergeCell ref="A1:F2"/>
    <mergeCell ref="A17:B17"/>
    <mergeCell ref="A6:B6"/>
    <mergeCell ref="A7:B7"/>
    <mergeCell ref="A8:B8"/>
    <mergeCell ref="A9:B9"/>
    <mergeCell ref="A10:B10"/>
    <mergeCell ref="A11:B11"/>
    <mergeCell ref="A12:B12"/>
    <mergeCell ref="A14:B14"/>
    <mergeCell ref="A15:B15"/>
    <mergeCell ref="A16:B16"/>
    <mergeCell ref="A13:B13"/>
    <mergeCell ref="A29:B29"/>
    <mergeCell ref="A18:B18"/>
    <mergeCell ref="C19:E19"/>
    <mergeCell ref="G19:H19"/>
    <mergeCell ref="A20:H20"/>
    <mergeCell ref="A21:I21"/>
    <mergeCell ref="A22:B23"/>
    <mergeCell ref="C22:F22"/>
    <mergeCell ref="G22:I22"/>
    <mergeCell ref="A24:B24"/>
    <mergeCell ref="A25:B25"/>
    <mergeCell ref="A26:B26"/>
    <mergeCell ref="A27:B27"/>
    <mergeCell ref="A28:B28"/>
    <mergeCell ref="A36:B36"/>
    <mergeCell ref="C37:E37"/>
    <mergeCell ref="G37:H37"/>
    <mergeCell ref="A38:H38"/>
    <mergeCell ref="A30:B30"/>
    <mergeCell ref="A31:B31"/>
    <mergeCell ref="A32:B32"/>
    <mergeCell ref="A33:B33"/>
    <mergeCell ref="A34:B34"/>
    <mergeCell ref="A35:B35"/>
  </mergeCells>
  <conditionalFormatting sqref="G2:H2">
    <cfRule type="expression" dxfId="24" priority="1" stopIfTrue="1">
      <formula>"MM/DD/YY"</formula>
    </cfRule>
  </conditionalFormatting>
  <printOptions horizontalCentered="1"/>
  <pageMargins left="0.75" right="0.75" top="1" bottom="1" header="0" footer="0"/>
  <pageSetup scale="74" fitToHeight="0" orientation="portrait" r:id="rId1"/>
  <ignoredErrors>
    <ignoredError sqref="I14:I18 F14:F18 F6:F12 I6:I12 F13 I13 F24:F36 I24:I36" unlockedFormula="1"/>
  </ignoredErrors>
  <drawing r:id="rId2"/>
  <legacyDrawing r:id="rId3"/>
  <controls>
    <mc:AlternateContent xmlns:mc="http://schemas.openxmlformats.org/markup-compatibility/2006">
      <mc:Choice Requires="x14">
        <control shapeId="2052" r:id="rId4" name="CommandButton1">
          <controlPr defaultSize="0" autoLine="0" autoPict="0" altText="Add A Row Command Button" r:id="rId5">
            <anchor moveWithCells="1">
              <from>
                <xdr:col>9</xdr:col>
                <xdr:colOff>222250</xdr:colOff>
                <xdr:row>17</xdr:row>
                <xdr:rowOff>12700</xdr:rowOff>
              </from>
              <to>
                <xdr:col>11</xdr:col>
                <xdr:colOff>298450</xdr:colOff>
                <xdr:row>18</xdr:row>
                <xdr:rowOff>19050</xdr:rowOff>
              </to>
            </anchor>
          </controlPr>
        </control>
      </mc:Choice>
      <mc:Fallback>
        <control shapeId="2052" r:id="rId4" name="CommandButton1"/>
      </mc:Fallback>
    </mc:AlternateContent>
  </control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BFD83-7F0D-426C-8CDD-C7267E3D113B}">
  <sheetPr codeName="Sheet1">
    <pageSetUpPr fitToPage="1"/>
  </sheetPr>
  <dimension ref="A1:Z1004"/>
  <sheetViews>
    <sheetView topLeftCell="C7" zoomScaleNormal="100" workbookViewId="0">
      <selection activeCell="M16" sqref="M16"/>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147</v>
      </c>
      <c r="B1" s="387"/>
      <c r="C1" s="387"/>
      <c r="D1" s="387"/>
      <c r="E1" s="387"/>
      <c r="F1" s="387"/>
      <c r="G1" s="258" t="s">
        <v>165</v>
      </c>
      <c r="H1" s="259"/>
      <c r="I1" s="162" t="s">
        <v>166</v>
      </c>
      <c r="J1" s="252"/>
      <c r="K1" s="252"/>
      <c r="L1" s="252"/>
      <c r="M1" s="252"/>
      <c r="N1" s="252"/>
    </row>
    <row r="2" spans="1:26" ht="15" customHeight="1" thickBot="1">
      <c r="A2" s="388"/>
      <c r="B2" s="389"/>
      <c r="C2" s="389"/>
      <c r="D2" s="389"/>
      <c r="E2" s="389"/>
      <c r="F2" s="389"/>
      <c r="G2" s="163" t="str">
        <f>IF(INPUT!C3=0,"",INPUT!C3)</f>
        <v>RLP # 36C248-25-R-0110 – EXHIBIT K</v>
      </c>
      <c r="H2" s="163"/>
      <c r="I2" s="164" t="str">
        <f>IF(INPUT!C10=0,"",INPUT!C10)</f>
        <v/>
      </c>
      <c r="J2" s="252"/>
      <c r="K2" s="252"/>
      <c r="L2" s="252"/>
      <c r="M2" s="252"/>
      <c r="N2" s="252"/>
    </row>
    <row r="3" spans="1:26" s="10" customFormat="1" ht="36" customHeight="1" thickBot="1">
      <c r="A3" s="480" t="s">
        <v>154</v>
      </c>
      <c r="B3" s="402"/>
      <c r="C3" s="402"/>
      <c r="D3" s="402"/>
      <c r="E3" s="402"/>
      <c r="F3" s="402"/>
      <c r="G3" s="402"/>
      <c r="H3" s="402"/>
      <c r="I3" s="403"/>
      <c r="J3" s="253"/>
      <c r="K3" s="253"/>
      <c r="L3" s="253"/>
      <c r="M3" s="253"/>
      <c r="N3" s="253"/>
    </row>
    <row r="4" spans="1:26" ht="15.5">
      <c r="A4" s="452" t="s">
        <v>93</v>
      </c>
      <c r="B4" s="453"/>
      <c r="C4" s="390" t="s">
        <v>91</v>
      </c>
      <c r="D4" s="382"/>
      <c r="E4" s="382"/>
      <c r="F4" s="383"/>
      <c r="G4" s="381" t="s">
        <v>92</v>
      </c>
      <c r="H4" s="382"/>
      <c r="I4" s="383"/>
      <c r="J4" s="252"/>
      <c r="K4" s="252"/>
      <c r="L4" s="252"/>
      <c r="M4" s="252"/>
      <c r="N4" s="252"/>
    </row>
    <row r="5" spans="1:26" ht="15.75" customHeight="1" thickBot="1">
      <c r="A5" s="454"/>
      <c r="B5" s="455"/>
      <c r="C5" s="37" t="s">
        <v>129</v>
      </c>
      <c r="D5" s="27" t="s">
        <v>95</v>
      </c>
      <c r="E5" s="28" t="s">
        <v>61</v>
      </c>
      <c r="F5" s="38" t="s">
        <v>79</v>
      </c>
      <c r="G5" s="44" t="s">
        <v>96</v>
      </c>
      <c r="H5" s="30" t="s">
        <v>85</v>
      </c>
      <c r="I5" s="31" t="s">
        <v>79</v>
      </c>
      <c r="J5" s="252"/>
      <c r="K5" s="252"/>
      <c r="L5" s="252"/>
      <c r="M5" s="252"/>
      <c r="N5" s="252"/>
    </row>
    <row r="6" spans="1:26" ht="21.75" customHeight="1">
      <c r="A6" s="476" t="s">
        <v>149</v>
      </c>
      <c r="B6" s="472"/>
      <c r="C6" s="34">
        <v>1</v>
      </c>
      <c r="D6" s="19" t="s">
        <v>148</v>
      </c>
      <c r="E6" s="11">
        <v>0</v>
      </c>
      <c r="F6" s="260">
        <f t="shared" ref="F6:F19" si="0">C6*E6</f>
        <v>0</v>
      </c>
      <c r="G6" s="34">
        <v>1</v>
      </c>
      <c r="H6" s="17">
        <v>0</v>
      </c>
      <c r="I6" s="261">
        <f t="shared" ref="I6:I19" si="1">G6*H6</f>
        <v>0</v>
      </c>
      <c r="J6" s="254"/>
      <c r="K6" s="254"/>
      <c r="L6" s="254"/>
      <c r="M6" s="254"/>
      <c r="N6" s="254"/>
      <c r="O6" s="6"/>
      <c r="P6" s="6"/>
      <c r="Q6" s="6"/>
      <c r="R6" s="6"/>
      <c r="S6" s="6"/>
      <c r="T6" s="6"/>
      <c r="U6" s="6"/>
      <c r="V6" s="6"/>
      <c r="W6" s="6"/>
      <c r="X6" s="6"/>
      <c r="Y6" s="6"/>
      <c r="Z6" s="6"/>
    </row>
    <row r="7" spans="1:26" ht="21.75" customHeight="1">
      <c r="A7" s="476"/>
      <c r="B7" s="472"/>
      <c r="C7" s="34"/>
      <c r="D7" s="19"/>
      <c r="E7" s="11"/>
      <c r="F7" s="260">
        <f>C7*E7</f>
        <v>0</v>
      </c>
      <c r="G7" s="43"/>
      <c r="H7" s="18"/>
      <c r="I7" s="179">
        <f t="shared" si="1"/>
        <v>0</v>
      </c>
      <c r="J7" s="254"/>
      <c r="K7" s="254"/>
      <c r="L7" s="254"/>
      <c r="M7" s="254"/>
      <c r="N7" s="254"/>
      <c r="O7" s="6"/>
      <c r="P7" s="6"/>
      <c r="Q7" s="6"/>
      <c r="R7" s="6"/>
      <c r="S7" s="6"/>
      <c r="T7" s="6"/>
      <c r="U7" s="6"/>
      <c r="V7" s="6"/>
      <c r="W7" s="6"/>
      <c r="X7" s="6"/>
      <c r="Y7" s="6"/>
      <c r="Z7" s="6"/>
    </row>
    <row r="8" spans="1:26" ht="21.75" customHeight="1">
      <c r="A8" s="476"/>
      <c r="B8" s="472"/>
      <c r="C8" s="34"/>
      <c r="D8" s="19"/>
      <c r="E8" s="11"/>
      <c r="F8" s="262">
        <f t="shared" si="0"/>
        <v>0</v>
      </c>
      <c r="G8" s="43"/>
      <c r="H8" s="18"/>
      <c r="I8" s="179">
        <f t="shared" si="1"/>
        <v>0</v>
      </c>
      <c r="J8" s="254"/>
      <c r="K8" s="254"/>
      <c r="L8" s="254"/>
      <c r="M8" s="254"/>
      <c r="N8" s="254"/>
      <c r="O8" s="6"/>
      <c r="P8" s="6"/>
      <c r="Q8" s="6"/>
      <c r="R8" s="6"/>
      <c r="S8" s="6"/>
      <c r="T8" s="6"/>
      <c r="U8" s="6"/>
      <c r="V8" s="6"/>
      <c r="W8" s="6"/>
      <c r="X8" s="6"/>
      <c r="Y8" s="6"/>
      <c r="Z8" s="6"/>
    </row>
    <row r="9" spans="1:26" ht="21.75" customHeight="1">
      <c r="A9" s="476"/>
      <c r="B9" s="472"/>
      <c r="C9" s="34"/>
      <c r="D9" s="19"/>
      <c r="E9" s="11"/>
      <c r="F9" s="262">
        <f t="shared" si="0"/>
        <v>0</v>
      </c>
      <c r="G9" s="43"/>
      <c r="H9" s="18"/>
      <c r="I9" s="179">
        <f t="shared" si="1"/>
        <v>0</v>
      </c>
      <c r="J9" s="254"/>
      <c r="K9" s="254"/>
      <c r="L9" s="254"/>
      <c r="M9" s="254"/>
      <c r="N9" s="254"/>
      <c r="O9" s="6"/>
      <c r="P9" s="6"/>
      <c r="Q9" s="6"/>
      <c r="R9" s="6"/>
      <c r="S9" s="6"/>
      <c r="T9" s="6"/>
      <c r="U9" s="6"/>
      <c r="V9" s="6"/>
      <c r="W9" s="6"/>
      <c r="X9" s="6"/>
      <c r="Y9" s="6"/>
      <c r="Z9" s="6"/>
    </row>
    <row r="10" spans="1:26" ht="21.75" customHeight="1">
      <c r="A10" s="476"/>
      <c r="B10" s="472"/>
      <c r="C10" s="34"/>
      <c r="D10" s="19"/>
      <c r="E10" s="11"/>
      <c r="F10" s="260">
        <f t="shared" si="0"/>
        <v>0</v>
      </c>
      <c r="G10" s="43"/>
      <c r="H10" s="18"/>
      <c r="I10" s="179">
        <f t="shared" si="1"/>
        <v>0</v>
      </c>
      <c r="J10" s="254"/>
      <c r="K10" s="254"/>
      <c r="L10" s="254"/>
      <c r="M10" s="254"/>
      <c r="N10" s="254"/>
      <c r="O10" s="6"/>
      <c r="P10" s="6"/>
      <c r="Q10" s="6"/>
      <c r="R10" s="6"/>
      <c r="S10" s="6"/>
      <c r="T10" s="6"/>
      <c r="U10" s="6"/>
      <c r="V10" s="6"/>
      <c r="W10" s="6"/>
      <c r="X10" s="6"/>
      <c r="Y10" s="6"/>
      <c r="Z10" s="6"/>
    </row>
    <row r="11" spans="1:26" ht="21.75" customHeight="1">
      <c r="A11" s="476"/>
      <c r="B11" s="472"/>
      <c r="C11" s="34"/>
      <c r="D11" s="19"/>
      <c r="E11" s="11"/>
      <c r="F11" s="260">
        <f t="shared" si="0"/>
        <v>0</v>
      </c>
      <c r="G11" s="43"/>
      <c r="H11" s="18"/>
      <c r="I11" s="179">
        <f t="shared" si="1"/>
        <v>0</v>
      </c>
      <c r="J11" s="254"/>
      <c r="K11" s="254"/>
      <c r="L11" s="254"/>
      <c r="M11" s="254"/>
      <c r="N11" s="254"/>
      <c r="O11" s="6"/>
      <c r="P11" s="6"/>
      <c r="Q11" s="6"/>
      <c r="R11" s="6"/>
      <c r="S11" s="6"/>
      <c r="T11" s="6"/>
      <c r="U11" s="6"/>
      <c r="V11" s="6"/>
      <c r="W11" s="6"/>
      <c r="X11" s="6"/>
      <c r="Y11" s="6"/>
      <c r="Z11" s="6"/>
    </row>
    <row r="12" spans="1:26" ht="21.75" customHeight="1">
      <c r="A12" s="476"/>
      <c r="B12" s="472"/>
      <c r="C12" s="34"/>
      <c r="D12" s="19"/>
      <c r="E12" s="11"/>
      <c r="F12" s="260">
        <f t="shared" si="0"/>
        <v>0</v>
      </c>
      <c r="G12" s="43"/>
      <c r="H12" s="18"/>
      <c r="I12" s="179">
        <f t="shared" si="1"/>
        <v>0</v>
      </c>
      <c r="J12" s="254"/>
      <c r="K12" s="254"/>
      <c r="L12" s="254"/>
      <c r="M12" s="254"/>
      <c r="N12" s="254"/>
      <c r="O12" s="6"/>
      <c r="P12" s="6"/>
      <c r="Q12" s="6"/>
      <c r="R12" s="6"/>
      <c r="S12" s="6"/>
      <c r="T12" s="6"/>
      <c r="U12" s="6"/>
      <c r="V12" s="6"/>
      <c r="W12" s="6"/>
      <c r="X12" s="6"/>
      <c r="Y12" s="6"/>
      <c r="Z12" s="6"/>
    </row>
    <row r="13" spans="1:26" ht="21.75" customHeight="1">
      <c r="A13" s="476"/>
      <c r="B13" s="472"/>
      <c r="C13" s="34"/>
      <c r="D13" s="19"/>
      <c r="E13" s="11"/>
      <c r="F13" s="260">
        <f t="shared" ref="F13" si="2">C13*E13</f>
        <v>0</v>
      </c>
      <c r="G13" s="43"/>
      <c r="H13" s="18"/>
      <c r="I13" s="179">
        <f t="shared" ref="I13" si="3">G13*H13</f>
        <v>0</v>
      </c>
      <c r="J13" s="254"/>
      <c r="K13" s="254"/>
      <c r="L13" s="254"/>
      <c r="M13" s="254"/>
      <c r="N13" s="254"/>
      <c r="O13" s="6"/>
      <c r="P13" s="6"/>
      <c r="Q13" s="6"/>
      <c r="R13" s="6"/>
      <c r="S13" s="6"/>
      <c r="T13" s="6"/>
      <c r="U13" s="6"/>
      <c r="V13" s="6"/>
      <c r="W13" s="6"/>
      <c r="X13" s="6"/>
      <c r="Y13" s="6"/>
      <c r="Z13" s="6"/>
    </row>
    <row r="14" spans="1:26" ht="21.75" customHeight="1">
      <c r="A14" s="476"/>
      <c r="B14" s="472"/>
      <c r="C14" s="34"/>
      <c r="D14" s="19"/>
      <c r="E14" s="11"/>
      <c r="F14" s="260">
        <f t="shared" si="0"/>
        <v>0</v>
      </c>
      <c r="G14" s="43"/>
      <c r="H14" s="18"/>
      <c r="I14" s="179">
        <f t="shared" si="1"/>
        <v>0</v>
      </c>
      <c r="J14" s="254"/>
      <c r="K14" s="254"/>
      <c r="L14" s="254"/>
      <c r="M14" s="254"/>
      <c r="N14" s="254"/>
      <c r="O14" s="6"/>
      <c r="P14" s="6"/>
      <c r="Q14" s="6"/>
      <c r="R14" s="6"/>
      <c r="S14" s="6"/>
      <c r="T14" s="6"/>
      <c r="U14" s="6"/>
      <c r="V14" s="6"/>
      <c r="W14" s="6"/>
      <c r="X14" s="6"/>
      <c r="Y14" s="6"/>
      <c r="Z14" s="6"/>
    </row>
    <row r="15" spans="1:26" ht="21.75" customHeight="1">
      <c r="A15" s="476"/>
      <c r="B15" s="472"/>
      <c r="C15" s="34"/>
      <c r="D15" s="19"/>
      <c r="E15" s="11"/>
      <c r="F15" s="260">
        <f t="shared" si="0"/>
        <v>0</v>
      </c>
      <c r="G15" s="43"/>
      <c r="H15" s="18"/>
      <c r="I15" s="179">
        <f t="shared" si="1"/>
        <v>0</v>
      </c>
      <c r="J15" s="254"/>
      <c r="K15" s="254"/>
      <c r="L15" s="254"/>
      <c r="M15" s="254"/>
      <c r="N15" s="254"/>
      <c r="O15" s="6"/>
      <c r="P15" s="6"/>
      <c r="Q15" s="6"/>
      <c r="R15" s="6"/>
      <c r="S15" s="6"/>
      <c r="T15" s="6"/>
      <c r="U15" s="6"/>
      <c r="V15" s="6"/>
      <c r="W15" s="6"/>
      <c r="X15" s="6"/>
      <c r="Y15" s="6"/>
      <c r="Z15" s="6"/>
    </row>
    <row r="16" spans="1:26" ht="21.75" customHeight="1">
      <c r="A16" s="476"/>
      <c r="B16" s="472"/>
      <c r="C16" s="34"/>
      <c r="D16" s="19"/>
      <c r="E16" s="11"/>
      <c r="F16" s="260">
        <f t="shared" si="0"/>
        <v>0</v>
      </c>
      <c r="G16" s="43"/>
      <c r="H16" s="18"/>
      <c r="I16" s="179">
        <f t="shared" si="1"/>
        <v>0</v>
      </c>
      <c r="J16" s="254"/>
      <c r="K16" s="254"/>
      <c r="L16" s="254"/>
      <c r="M16" s="254"/>
      <c r="N16" s="254"/>
      <c r="O16" s="6"/>
      <c r="P16" s="6"/>
      <c r="Q16" s="6"/>
      <c r="R16" s="6"/>
      <c r="S16" s="6"/>
      <c r="T16" s="6"/>
      <c r="U16" s="6"/>
      <c r="V16" s="6"/>
      <c r="W16" s="6"/>
      <c r="X16" s="6"/>
      <c r="Y16" s="6"/>
      <c r="Z16" s="6"/>
    </row>
    <row r="17" spans="1:26" ht="21.75" customHeight="1">
      <c r="A17" s="476"/>
      <c r="B17" s="472"/>
      <c r="C17" s="34"/>
      <c r="D17" s="19"/>
      <c r="E17" s="11"/>
      <c r="F17" s="260">
        <f t="shared" si="0"/>
        <v>0</v>
      </c>
      <c r="G17" s="43"/>
      <c r="H17" s="18"/>
      <c r="I17" s="179">
        <f t="shared" si="1"/>
        <v>0</v>
      </c>
      <c r="J17" s="254"/>
      <c r="K17" s="254"/>
      <c r="L17" s="254"/>
      <c r="M17" s="254"/>
      <c r="N17" s="254"/>
      <c r="O17" s="6"/>
      <c r="P17" s="6"/>
      <c r="Q17" s="6"/>
      <c r="R17" s="6"/>
      <c r="S17" s="6"/>
      <c r="T17" s="6"/>
      <c r="U17" s="6"/>
      <c r="V17" s="6"/>
      <c r="W17" s="6"/>
      <c r="X17" s="6"/>
      <c r="Y17" s="6"/>
      <c r="Z17" s="6"/>
    </row>
    <row r="18" spans="1:26" ht="21.75" customHeight="1">
      <c r="A18" s="476"/>
      <c r="B18" s="472"/>
      <c r="C18" s="34"/>
      <c r="D18" s="19"/>
      <c r="E18" s="11"/>
      <c r="F18" s="260">
        <f t="shared" si="0"/>
        <v>0</v>
      </c>
      <c r="G18" s="43"/>
      <c r="H18" s="18"/>
      <c r="I18" s="179">
        <f t="shared" si="1"/>
        <v>0</v>
      </c>
      <c r="J18" s="254"/>
      <c r="K18" s="254"/>
      <c r="L18" s="254"/>
      <c r="M18" s="254"/>
      <c r="N18" s="254"/>
      <c r="O18" s="6"/>
      <c r="P18" s="6"/>
      <c r="Q18" s="6"/>
      <c r="R18" s="6"/>
      <c r="S18" s="6"/>
      <c r="T18" s="6"/>
      <c r="U18" s="6"/>
      <c r="V18" s="6"/>
      <c r="W18" s="6"/>
      <c r="X18" s="6"/>
      <c r="Y18" s="6"/>
      <c r="Z18" s="6"/>
    </row>
    <row r="19" spans="1:26" ht="21.75" customHeight="1">
      <c r="A19" s="476"/>
      <c r="B19" s="472"/>
      <c r="C19" s="34"/>
      <c r="D19" s="19"/>
      <c r="E19" s="11"/>
      <c r="F19" s="263">
        <f t="shared" si="0"/>
        <v>0</v>
      </c>
      <c r="G19" s="34"/>
      <c r="H19" s="16"/>
      <c r="I19" s="182">
        <f t="shared" si="1"/>
        <v>0</v>
      </c>
      <c r="J19" s="254"/>
      <c r="K19" s="254"/>
      <c r="L19" s="254"/>
      <c r="M19" s="254"/>
      <c r="N19" s="254"/>
      <c r="O19" s="6"/>
      <c r="P19" s="6"/>
      <c r="Q19" s="6"/>
      <c r="R19" s="6"/>
      <c r="S19" s="6"/>
      <c r="T19" s="6"/>
      <c r="U19" s="6"/>
      <c r="V19" s="6"/>
      <c r="W19" s="6"/>
      <c r="X19" s="6"/>
      <c r="Y19" s="6"/>
      <c r="Z19" s="6"/>
    </row>
    <row r="20" spans="1:26" ht="15.75" customHeight="1" thickBot="1">
      <c r="A20" s="46"/>
      <c r="B20" s="47"/>
      <c r="C20" s="467" t="s">
        <v>122</v>
      </c>
      <c r="D20" s="468"/>
      <c r="E20" s="468"/>
      <c r="F20" s="25">
        <f>SUM(F6:F19)</f>
        <v>0</v>
      </c>
      <c r="G20" s="467" t="s">
        <v>123</v>
      </c>
      <c r="H20" s="468"/>
      <c r="I20" s="25">
        <f>SUM(I6:I19)</f>
        <v>0</v>
      </c>
      <c r="J20" s="255"/>
      <c r="K20" s="255"/>
      <c r="L20" s="255"/>
      <c r="M20" s="255"/>
      <c r="N20" s="255"/>
      <c r="O20" s="7"/>
      <c r="P20" s="7"/>
      <c r="Q20" s="7"/>
      <c r="R20" s="7"/>
      <c r="S20" s="7"/>
      <c r="T20" s="7"/>
      <c r="U20" s="7"/>
      <c r="V20" s="7"/>
      <c r="W20" s="7"/>
      <c r="X20" s="7"/>
      <c r="Y20" s="7"/>
      <c r="Z20" s="7"/>
    </row>
    <row r="21" spans="1:26" ht="20.149999999999999" customHeight="1" thickBot="1">
      <c r="A21" s="469" t="s">
        <v>125</v>
      </c>
      <c r="B21" s="470"/>
      <c r="C21" s="470"/>
      <c r="D21" s="470"/>
      <c r="E21" s="470"/>
      <c r="F21" s="470"/>
      <c r="G21" s="470"/>
      <c r="H21" s="470"/>
      <c r="I21" s="26">
        <f>SUM(I20,F20)</f>
        <v>0</v>
      </c>
      <c r="J21" s="255"/>
      <c r="K21" s="255"/>
      <c r="L21" s="255"/>
      <c r="M21" s="255"/>
      <c r="N21" s="255"/>
      <c r="O21" s="7"/>
      <c r="P21" s="7"/>
      <c r="Q21" s="7"/>
      <c r="R21" s="7"/>
      <c r="S21" s="7"/>
      <c r="T21" s="7"/>
      <c r="U21" s="7"/>
      <c r="V21" s="7"/>
      <c r="W21" s="7"/>
      <c r="X21" s="7"/>
      <c r="Y21" s="7"/>
      <c r="Z21" s="7"/>
    </row>
    <row r="22" spans="1:26" ht="36" customHeight="1" thickBot="1">
      <c r="A22" s="477" t="s">
        <v>232</v>
      </c>
      <c r="B22" s="478"/>
      <c r="C22" s="478"/>
      <c r="D22" s="478"/>
      <c r="E22" s="478"/>
      <c r="F22" s="478"/>
      <c r="G22" s="478"/>
      <c r="H22" s="478"/>
      <c r="I22" s="479"/>
      <c r="J22" s="255"/>
      <c r="K22" s="255"/>
      <c r="L22" s="255"/>
      <c r="M22" s="255"/>
      <c r="N22" s="255"/>
      <c r="O22" s="7"/>
      <c r="P22" s="7"/>
      <c r="Q22" s="7"/>
      <c r="R22" s="7"/>
      <c r="S22" s="7"/>
      <c r="T22" s="7"/>
      <c r="U22" s="7"/>
      <c r="V22" s="7"/>
      <c r="W22" s="7"/>
      <c r="X22" s="7"/>
      <c r="Y22" s="7"/>
      <c r="Z22" s="7"/>
    </row>
    <row r="23" spans="1:26" ht="15.5">
      <c r="A23" s="452" t="s">
        <v>93</v>
      </c>
      <c r="B23" s="453"/>
      <c r="C23" s="390" t="s">
        <v>91</v>
      </c>
      <c r="D23" s="382"/>
      <c r="E23" s="382"/>
      <c r="F23" s="383"/>
      <c r="G23" s="381" t="s">
        <v>92</v>
      </c>
      <c r="H23" s="382"/>
      <c r="I23" s="383"/>
      <c r="J23" s="256"/>
      <c r="K23" s="256"/>
      <c r="L23" s="256"/>
      <c r="M23" s="256"/>
      <c r="N23" s="256"/>
      <c r="O23" s="8"/>
      <c r="P23" s="8"/>
      <c r="Q23" s="8"/>
      <c r="R23" s="8"/>
      <c r="S23" s="8"/>
      <c r="T23" s="8"/>
      <c r="U23" s="8"/>
      <c r="V23" s="8"/>
      <c r="W23" s="8"/>
      <c r="X23" s="8"/>
      <c r="Y23" s="8"/>
      <c r="Z23" s="8"/>
    </row>
    <row r="24" spans="1:26" ht="15.75" customHeight="1" thickBot="1">
      <c r="A24" s="454"/>
      <c r="B24" s="455"/>
      <c r="C24" s="37" t="s">
        <v>129</v>
      </c>
      <c r="D24" s="27" t="s">
        <v>95</v>
      </c>
      <c r="E24" s="28" t="s">
        <v>61</v>
      </c>
      <c r="F24" s="38" t="s">
        <v>79</v>
      </c>
      <c r="G24" s="44" t="s">
        <v>96</v>
      </c>
      <c r="H24" s="30" t="s">
        <v>85</v>
      </c>
      <c r="I24" s="31" t="s">
        <v>79</v>
      </c>
      <c r="J24" s="256"/>
      <c r="K24" s="256"/>
      <c r="L24" s="256"/>
      <c r="M24" s="256"/>
      <c r="N24" s="256"/>
      <c r="O24" s="8"/>
      <c r="P24" s="8"/>
      <c r="Q24" s="8"/>
      <c r="R24" s="8"/>
      <c r="S24" s="8"/>
      <c r="T24" s="8"/>
      <c r="U24" s="8"/>
      <c r="V24" s="8"/>
      <c r="W24" s="8"/>
      <c r="X24" s="8"/>
      <c r="Y24" s="8"/>
      <c r="Z24" s="8"/>
    </row>
    <row r="25" spans="1:26" ht="21.75" customHeight="1">
      <c r="A25" s="471"/>
      <c r="B25" s="472"/>
      <c r="C25" s="39">
        <v>1</v>
      </c>
      <c r="D25" s="20"/>
      <c r="E25" s="12">
        <v>0</v>
      </c>
      <c r="F25" s="40">
        <f t="shared" ref="F25:F37" si="4">C25*E25</f>
        <v>0</v>
      </c>
      <c r="G25" s="39">
        <v>1</v>
      </c>
      <c r="H25" s="12">
        <v>0</v>
      </c>
      <c r="I25" s="264">
        <f>G25*H25</f>
        <v>0</v>
      </c>
      <c r="J25" s="252"/>
      <c r="K25" s="252"/>
      <c r="L25" s="252"/>
      <c r="M25" s="252"/>
      <c r="N25" s="252"/>
    </row>
    <row r="26" spans="1:26" ht="21.75" customHeight="1">
      <c r="A26" s="471"/>
      <c r="B26" s="472"/>
      <c r="C26" s="39"/>
      <c r="D26" s="20"/>
      <c r="E26" s="12"/>
      <c r="F26" s="40">
        <f t="shared" si="4"/>
        <v>0</v>
      </c>
      <c r="G26" s="39"/>
      <c r="H26" s="12"/>
      <c r="I26" s="206">
        <f t="shared" ref="I26:I37" si="5">G26*H26</f>
        <v>0</v>
      </c>
      <c r="J26" s="252"/>
      <c r="K26" s="252"/>
      <c r="L26" s="252"/>
      <c r="M26" s="252"/>
      <c r="N26" s="252"/>
    </row>
    <row r="27" spans="1:26" ht="21.75" customHeight="1">
      <c r="A27" s="471"/>
      <c r="B27" s="472"/>
      <c r="C27" s="39"/>
      <c r="D27" s="20"/>
      <c r="E27" s="12"/>
      <c r="F27" s="40">
        <f t="shared" si="4"/>
        <v>0</v>
      </c>
      <c r="G27" s="39"/>
      <c r="H27" s="12"/>
      <c r="I27" s="206">
        <f t="shared" si="5"/>
        <v>0</v>
      </c>
      <c r="J27" s="252"/>
      <c r="K27" s="252"/>
      <c r="L27" s="252"/>
      <c r="M27" s="252"/>
      <c r="N27" s="252"/>
    </row>
    <row r="28" spans="1:26" ht="21.75" customHeight="1">
      <c r="A28" s="471"/>
      <c r="B28" s="472"/>
      <c r="C28" s="39"/>
      <c r="D28" s="20"/>
      <c r="E28" s="12"/>
      <c r="F28" s="40">
        <f t="shared" si="4"/>
        <v>0</v>
      </c>
      <c r="G28" s="39"/>
      <c r="H28" s="12"/>
      <c r="I28" s="206">
        <f t="shared" si="5"/>
        <v>0</v>
      </c>
      <c r="J28" s="252"/>
      <c r="K28" s="252"/>
      <c r="L28" s="252"/>
      <c r="M28" s="252"/>
      <c r="N28" s="252"/>
    </row>
    <row r="29" spans="1:26" ht="21.75" customHeight="1">
      <c r="A29" s="471"/>
      <c r="B29" s="472"/>
      <c r="C29" s="39"/>
      <c r="D29" s="20"/>
      <c r="E29" s="12"/>
      <c r="F29" s="40">
        <f t="shared" si="4"/>
        <v>0</v>
      </c>
      <c r="G29" s="39"/>
      <c r="H29" s="12"/>
      <c r="I29" s="206">
        <f t="shared" si="5"/>
        <v>0</v>
      </c>
      <c r="J29" s="252"/>
      <c r="K29" s="252"/>
      <c r="L29" s="252"/>
      <c r="M29" s="252"/>
      <c r="N29" s="252"/>
    </row>
    <row r="30" spans="1:26" ht="21.75" customHeight="1">
      <c r="A30" s="471"/>
      <c r="B30" s="472"/>
      <c r="C30" s="39"/>
      <c r="D30" s="20"/>
      <c r="E30" s="12"/>
      <c r="F30" s="40">
        <f t="shared" si="4"/>
        <v>0</v>
      </c>
      <c r="G30" s="39"/>
      <c r="H30" s="12"/>
      <c r="I30" s="206">
        <f t="shared" si="5"/>
        <v>0</v>
      </c>
      <c r="J30" s="252"/>
      <c r="K30" s="252"/>
      <c r="L30" s="252"/>
      <c r="M30" s="252"/>
      <c r="N30" s="252"/>
    </row>
    <row r="31" spans="1:26" ht="21.75" customHeight="1">
      <c r="A31" s="471"/>
      <c r="B31" s="472"/>
      <c r="C31" s="39"/>
      <c r="D31" s="20"/>
      <c r="E31" s="12"/>
      <c r="F31" s="40">
        <f t="shared" si="4"/>
        <v>0</v>
      </c>
      <c r="G31" s="39"/>
      <c r="H31" s="12"/>
      <c r="I31" s="206">
        <f t="shared" si="5"/>
        <v>0</v>
      </c>
      <c r="J31" s="252"/>
      <c r="K31" s="252"/>
      <c r="L31" s="252"/>
      <c r="M31" s="252"/>
      <c r="N31" s="252"/>
    </row>
    <row r="32" spans="1:26" ht="21.75" customHeight="1">
      <c r="A32" s="471"/>
      <c r="B32" s="472"/>
      <c r="C32" s="39"/>
      <c r="D32" s="20"/>
      <c r="E32" s="12"/>
      <c r="F32" s="40">
        <f t="shared" si="4"/>
        <v>0</v>
      </c>
      <c r="G32" s="39"/>
      <c r="H32" s="12"/>
      <c r="I32" s="206">
        <f t="shared" si="5"/>
        <v>0</v>
      </c>
      <c r="J32" s="252"/>
      <c r="K32" s="252"/>
      <c r="L32" s="252"/>
      <c r="M32" s="252"/>
      <c r="N32" s="252"/>
    </row>
    <row r="33" spans="1:14" ht="21.75" customHeight="1">
      <c r="A33" s="471"/>
      <c r="B33" s="472"/>
      <c r="C33" s="39"/>
      <c r="D33" s="20"/>
      <c r="E33" s="12"/>
      <c r="F33" s="40">
        <f t="shared" si="4"/>
        <v>0</v>
      </c>
      <c r="G33" s="39"/>
      <c r="H33" s="12"/>
      <c r="I33" s="206">
        <f t="shared" si="5"/>
        <v>0</v>
      </c>
      <c r="J33" s="252"/>
      <c r="K33" s="252"/>
      <c r="L33" s="252"/>
      <c r="M33" s="252"/>
      <c r="N33" s="252"/>
    </row>
    <row r="34" spans="1:14" ht="21.75" customHeight="1">
      <c r="A34" s="471"/>
      <c r="B34" s="472"/>
      <c r="C34" s="39"/>
      <c r="D34" s="20"/>
      <c r="E34" s="12"/>
      <c r="F34" s="40">
        <f t="shared" si="4"/>
        <v>0</v>
      </c>
      <c r="G34" s="39"/>
      <c r="H34" s="12"/>
      <c r="I34" s="206">
        <f t="shared" si="5"/>
        <v>0</v>
      </c>
      <c r="J34" s="252"/>
      <c r="K34" s="252"/>
      <c r="L34" s="252"/>
      <c r="M34" s="252"/>
      <c r="N34" s="252"/>
    </row>
    <row r="35" spans="1:14" ht="21.75" customHeight="1">
      <c r="A35" s="471"/>
      <c r="B35" s="472"/>
      <c r="C35" s="39"/>
      <c r="D35" s="20"/>
      <c r="E35" s="12"/>
      <c r="F35" s="40">
        <f t="shared" si="4"/>
        <v>0</v>
      </c>
      <c r="G35" s="39"/>
      <c r="H35" s="12"/>
      <c r="I35" s="206">
        <f t="shared" si="5"/>
        <v>0</v>
      </c>
      <c r="J35" s="252"/>
      <c r="K35" s="252"/>
      <c r="L35" s="252"/>
      <c r="M35" s="252"/>
      <c r="N35" s="252"/>
    </row>
    <row r="36" spans="1:14" ht="21.75" customHeight="1">
      <c r="A36" s="471"/>
      <c r="B36" s="472"/>
      <c r="C36" s="39"/>
      <c r="D36" s="20"/>
      <c r="E36" s="12"/>
      <c r="F36" s="40">
        <f t="shared" si="4"/>
        <v>0</v>
      </c>
      <c r="G36" s="39"/>
      <c r="H36" s="12"/>
      <c r="I36" s="206">
        <f t="shared" si="5"/>
        <v>0</v>
      </c>
      <c r="J36" s="252"/>
      <c r="K36" s="252"/>
      <c r="L36" s="252"/>
      <c r="M36" s="252"/>
      <c r="N36" s="252"/>
    </row>
    <row r="37" spans="1:14" ht="21.75" customHeight="1">
      <c r="A37" s="471"/>
      <c r="B37" s="472"/>
      <c r="C37" s="41"/>
      <c r="D37" s="21"/>
      <c r="E37" s="13"/>
      <c r="F37" s="42">
        <f t="shared" si="4"/>
        <v>0</v>
      </c>
      <c r="G37" s="41"/>
      <c r="H37" s="13"/>
      <c r="I37" s="265">
        <f t="shared" si="5"/>
        <v>0</v>
      </c>
      <c r="J37" s="252"/>
      <c r="K37" s="252"/>
      <c r="L37" s="252"/>
      <c r="M37" s="252"/>
      <c r="N37" s="252"/>
    </row>
    <row r="38" spans="1:14" ht="15.75" customHeight="1" thickBot="1">
      <c r="A38" s="46"/>
      <c r="B38" s="47"/>
      <c r="C38" s="473" t="s">
        <v>122</v>
      </c>
      <c r="D38" s="474"/>
      <c r="E38" s="475"/>
      <c r="F38" s="266">
        <f>SUM(F25:F37)</f>
        <v>0</v>
      </c>
      <c r="G38" s="473" t="s">
        <v>123</v>
      </c>
      <c r="H38" s="475"/>
      <c r="I38" s="266">
        <f>SUM(I25:I37)</f>
        <v>0</v>
      </c>
      <c r="J38" s="252"/>
      <c r="K38" s="252"/>
      <c r="L38" s="252"/>
      <c r="M38" s="252"/>
      <c r="N38" s="252"/>
    </row>
    <row r="39" spans="1:14" ht="20.149999999999999" customHeight="1" thickBot="1">
      <c r="A39" s="469" t="s">
        <v>124</v>
      </c>
      <c r="B39" s="470"/>
      <c r="C39" s="470"/>
      <c r="D39" s="470"/>
      <c r="E39" s="470"/>
      <c r="F39" s="470"/>
      <c r="G39" s="470"/>
      <c r="H39" s="470"/>
      <c r="I39" s="267">
        <f>SUM(I38,F38)</f>
        <v>0</v>
      </c>
      <c r="J39" s="252"/>
      <c r="K39" s="252"/>
      <c r="L39" s="252"/>
      <c r="M39" s="252"/>
      <c r="N39" s="252"/>
    </row>
    <row r="40" spans="1:14" ht="15.75" customHeight="1">
      <c r="A40" s="252"/>
      <c r="B40" s="252"/>
      <c r="C40" s="252"/>
      <c r="D40" s="252"/>
      <c r="E40" s="257"/>
      <c r="F40" s="252"/>
      <c r="G40" s="252"/>
      <c r="H40" s="252"/>
      <c r="I40" s="252"/>
      <c r="J40" s="252"/>
      <c r="K40" s="252"/>
      <c r="L40" s="252"/>
      <c r="M40" s="252"/>
      <c r="N40" s="252"/>
    </row>
    <row r="41" spans="1:14" ht="15.75" customHeight="1">
      <c r="A41" s="252"/>
      <c r="B41" s="252"/>
      <c r="C41" s="252"/>
      <c r="D41" s="252"/>
      <c r="E41" s="257"/>
      <c r="F41" s="252"/>
      <c r="G41" s="252"/>
      <c r="H41" s="252"/>
      <c r="I41" s="252"/>
      <c r="J41" s="252"/>
      <c r="K41" s="252"/>
      <c r="L41" s="252"/>
      <c r="M41" s="252"/>
      <c r="N41" s="252"/>
    </row>
    <row r="42" spans="1:14" ht="15.75" customHeight="1">
      <c r="A42" s="252"/>
      <c r="B42" s="252"/>
      <c r="C42" s="252"/>
      <c r="D42" s="252"/>
      <c r="E42" s="257"/>
      <c r="F42" s="252"/>
      <c r="G42" s="252"/>
      <c r="H42" s="252"/>
      <c r="I42" s="252"/>
      <c r="J42" s="252"/>
      <c r="K42" s="252"/>
      <c r="L42" s="252"/>
      <c r="M42" s="252"/>
      <c r="N42" s="252"/>
    </row>
    <row r="43" spans="1:14" ht="15.75" customHeight="1">
      <c r="A43" s="252"/>
      <c r="B43" s="252"/>
      <c r="C43" s="252"/>
      <c r="D43" s="252"/>
      <c r="E43" s="257"/>
      <c r="F43" s="252"/>
      <c r="G43" s="252"/>
      <c r="H43" s="252"/>
      <c r="I43" s="252"/>
      <c r="J43" s="252"/>
      <c r="K43" s="252"/>
      <c r="L43" s="252"/>
      <c r="M43" s="252"/>
      <c r="N43" s="252"/>
    </row>
    <row r="44" spans="1:14" ht="15.75" customHeight="1">
      <c r="A44" s="252"/>
      <c r="B44" s="252"/>
      <c r="C44" s="252"/>
      <c r="D44" s="252"/>
      <c r="E44" s="257"/>
      <c r="F44" s="252"/>
      <c r="G44" s="252"/>
      <c r="H44" s="252"/>
      <c r="I44" s="252"/>
      <c r="J44" s="252"/>
      <c r="K44" s="252"/>
      <c r="L44" s="252"/>
      <c r="M44" s="252"/>
      <c r="N44" s="252"/>
    </row>
    <row r="45" spans="1:14" ht="15.75" customHeight="1">
      <c r="A45" s="252"/>
      <c r="B45" s="252"/>
      <c r="C45" s="252"/>
      <c r="D45" s="252"/>
      <c r="E45" s="257"/>
      <c r="F45" s="252"/>
      <c r="G45" s="252"/>
      <c r="H45" s="252"/>
      <c r="I45" s="252"/>
      <c r="J45" s="252"/>
      <c r="K45" s="252"/>
      <c r="L45" s="252"/>
      <c r="M45" s="252"/>
      <c r="N45" s="252"/>
    </row>
    <row r="46" spans="1:14" ht="15.75" customHeight="1">
      <c r="A46" s="252"/>
      <c r="B46" s="252"/>
      <c r="C46" s="252"/>
      <c r="D46" s="252"/>
      <c r="E46" s="257"/>
      <c r="F46" s="252"/>
      <c r="G46" s="252"/>
      <c r="H46" s="252"/>
      <c r="I46" s="252"/>
      <c r="J46" s="252"/>
      <c r="K46" s="252"/>
      <c r="L46" s="252"/>
      <c r="M46" s="252"/>
      <c r="N46" s="252"/>
    </row>
    <row r="47" spans="1:14" ht="15.75" customHeight="1">
      <c r="A47" s="252"/>
      <c r="B47" s="252"/>
      <c r="C47" s="252"/>
      <c r="D47" s="252"/>
      <c r="E47" s="257"/>
      <c r="F47" s="252"/>
      <c r="G47" s="252"/>
      <c r="H47" s="252"/>
      <c r="I47" s="252"/>
      <c r="J47" s="252"/>
      <c r="K47" s="252"/>
      <c r="L47" s="252"/>
      <c r="M47" s="252"/>
      <c r="N47" s="252"/>
    </row>
    <row r="48" spans="1:14" ht="15.75" customHeight="1">
      <c r="A48" s="252"/>
      <c r="B48" s="252"/>
      <c r="C48" s="252"/>
      <c r="D48" s="252"/>
      <c r="E48" s="257"/>
      <c r="F48" s="252"/>
      <c r="G48" s="252"/>
      <c r="H48" s="252"/>
      <c r="I48" s="252"/>
      <c r="J48" s="252"/>
      <c r="K48" s="252"/>
      <c r="L48" s="252"/>
      <c r="M48" s="252"/>
      <c r="N48" s="252"/>
    </row>
    <row r="49" spans="1:14" ht="15.75" customHeight="1">
      <c r="A49" s="252"/>
      <c r="B49" s="252"/>
      <c r="C49" s="252"/>
      <c r="D49" s="252"/>
      <c r="E49" s="257"/>
      <c r="F49" s="252"/>
      <c r="G49" s="252"/>
      <c r="H49" s="252"/>
      <c r="I49" s="252"/>
      <c r="J49" s="252"/>
      <c r="K49" s="252"/>
      <c r="L49" s="252"/>
      <c r="M49" s="252"/>
      <c r="N49" s="252"/>
    </row>
    <row r="50" spans="1:14" ht="15.75" customHeight="1">
      <c r="A50" s="252"/>
      <c r="B50" s="252"/>
      <c r="C50" s="252"/>
      <c r="D50" s="252"/>
      <c r="E50" s="257"/>
      <c r="F50" s="252"/>
      <c r="G50" s="252"/>
      <c r="H50" s="252"/>
      <c r="I50" s="252"/>
      <c r="J50" s="252"/>
      <c r="K50" s="252"/>
      <c r="L50" s="252"/>
      <c r="M50" s="252"/>
      <c r="N50" s="252"/>
    </row>
    <row r="51" spans="1:14" ht="15.75" customHeight="1">
      <c r="E51" s="9"/>
    </row>
    <row r="52" spans="1:14" ht="15.75" customHeight="1">
      <c r="E52" s="9"/>
    </row>
    <row r="53" spans="1:14" ht="15.75" customHeight="1">
      <c r="E53" s="9"/>
    </row>
    <row r="54" spans="1:14" ht="15.75" customHeight="1">
      <c r="E54" s="9"/>
    </row>
    <row r="55" spans="1:14" ht="15.75" customHeight="1">
      <c r="E55" s="9"/>
    </row>
    <row r="56" spans="1:14" ht="15.75" customHeight="1">
      <c r="E56" s="9"/>
    </row>
    <row r="57" spans="1:14" ht="15.75" customHeight="1">
      <c r="E57" s="9"/>
    </row>
    <row r="58" spans="1:14" ht="15.75" customHeight="1">
      <c r="E58" s="9"/>
    </row>
    <row r="59" spans="1:14" ht="15.75" customHeight="1">
      <c r="E59" s="9"/>
    </row>
    <row r="60" spans="1:14" ht="15.75" customHeight="1">
      <c r="E60" s="9"/>
    </row>
    <row r="61" spans="1:14" ht="15.75" customHeight="1">
      <c r="E61" s="9"/>
    </row>
    <row r="62" spans="1:14" ht="15.75" customHeight="1">
      <c r="E62" s="9"/>
    </row>
    <row r="63" spans="1:14" ht="15.75" customHeight="1">
      <c r="E63" s="9"/>
    </row>
    <row r="64" spans="1:14"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row r="1004" spans="5:5" ht="15.75" customHeight="1">
      <c r="E1004" s="9"/>
    </row>
  </sheetData>
  <mergeCells count="42">
    <mergeCell ref="A37:B37"/>
    <mergeCell ref="C38:E38"/>
    <mergeCell ref="G38:H38"/>
    <mergeCell ref="A39:H39"/>
    <mergeCell ref="A31:B31"/>
    <mergeCell ref="A32:B32"/>
    <mergeCell ref="A33:B33"/>
    <mergeCell ref="A34:B34"/>
    <mergeCell ref="A35:B35"/>
    <mergeCell ref="A36:B36"/>
    <mergeCell ref="A30:B30"/>
    <mergeCell ref="A19:B19"/>
    <mergeCell ref="C20:E20"/>
    <mergeCell ref="G20:H20"/>
    <mergeCell ref="A21:H21"/>
    <mergeCell ref="A22:I22"/>
    <mergeCell ref="A23:B24"/>
    <mergeCell ref="C23:F23"/>
    <mergeCell ref="G23:I23"/>
    <mergeCell ref="A25:B25"/>
    <mergeCell ref="A26:B26"/>
    <mergeCell ref="A27:B27"/>
    <mergeCell ref="A28:B28"/>
    <mergeCell ref="A29:B29"/>
    <mergeCell ref="A18:B18"/>
    <mergeCell ref="A6:B6"/>
    <mergeCell ref="A7:B7"/>
    <mergeCell ref="A8:B8"/>
    <mergeCell ref="A9:B9"/>
    <mergeCell ref="A10:B10"/>
    <mergeCell ref="A11:B11"/>
    <mergeCell ref="A12:B12"/>
    <mergeCell ref="A14:B14"/>
    <mergeCell ref="A15:B15"/>
    <mergeCell ref="A16:B16"/>
    <mergeCell ref="A17:B17"/>
    <mergeCell ref="A13:B13"/>
    <mergeCell ref="A3:I3"/>
    <mergeCell ref="A4:B5"/>
    <mergeCell ref="C4:F4"/>
    <mergeCell ref="G4:I4"/>
    <mergeCell ref="A1:F2"/>
  </mergeCells>
  <conditionalFormatting sqref="G2:H2">
    <cfRule type="expression" dxfId="23" priority="1" stopIfTrue="1">
      <formula>"MM/DD/YY"</formula>
    </cfRule>
  </conditionalFormatting>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6145" r:id="rId4" name="CommandButton1">
          <controlPr defaultSize="0" autoLine="0" altText="Add A Row Command Button" r:id="rId5">
            <anchor moveWithCells="1">
              <from>
                <xdr:col>9</xdr:col>
                <xdr:colOff>190500</xdr:colOff>
                <xdr:row>18</xdr:row>
                <xdr:rowOff>0</xdr:rowOff>
              </from>
              <to>
                <xdr:col>11</xdr:col>
                <xdr:colOff>317500</xdr:colOff>
                <xdr:row>19</xdr:row>
                <xdr:rowOff>12700</xdr:rowOff>
              </to>
            </anchor>
          </controlPr>
        </control>
      </mc:Choice>
      <mc:Fallback>
        <control shapeId="6145" r:id="rId4" name="CommandButton1"/>
      </mc:Fallback>
    </mc:AlternateContent>
  </control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CEB3A-4122-4E35-9011-D7F02CE477D9}">
  <sheetPr codeName="Sheet3">
    <pageSetUpPr fitToPage="1"/>
  </sheetPr>
  <dimension ref="A1:Z1003"/>
  <sheetViews>
    <sheetView topLeftCell="C6" zoomScaleNormal="100" workbookViewId="0">
      <selection activeCell="M16" sqref="M16"/>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150</v>
      </c>
      <c r="B1" s="387"/>
      <c r="C1" s="387"/>
      <c r="D1" s="387"/>
      <c r="E1" s="387"/>
      <c r="F1" s="387"/>
      <c r="G1" s="258" t="s">
        <v>165</v>
      </c>
      <c r="H1" s="259"/>
      <c r="I1" s="162" t="s">
        <v>166</v>
      </c>
      <c r="J1" s="252"/>
      <c r="K1" s="252"/>
      <c r="L1" s="252"/>
      <c r="M1" s="252"/>
      <c r="N1" s="252"/>
    </row>
    <row r="2" spans="1:26" ht="15" customHeight="1" thickBot="1">
      <c r="A2" s="388"/>
      <c r="B2" s="389"/>
      <c r="C2" s="389"/>
      <c r="D2" s="389"/>
      <c r="E2" s="389"/>
      <c r="F2" s="389"/>
      <c r="G2" s="163" t="str">
        <f>IF(INPUT!C3=0,"",INPUT!C3)</f>
        <v>RLP # 36C248-25-R-0110 – EXHIBIT K</v>
      </c>
      <c r="H2" s="163"/>
      <c r="I2" s="164" t="str">
        <f>IF(INPUT!C10=0,"",INPUT!C10)</f>
        <v/>
      </c>
      <c r="J2" s="252"/>
      <c r="K2" s="252"/>
      <c r="L2" s="252"/>
      <c r="M2" s="252"/>
      <c r="N2" s="252"/>
    </row>
    <row r="3" spans="1:26" s="10" customFormat="1" ht="36" customHeight="1" thickBot="1">
      <c r="A3" s="480" t="s">
        <v>151</v>
      </c>
      <c r="B3" s="402"/>
      <c r="C3" s="402"/>
      <c r="D3" s="402"/>
      <c r="E3" s="402"/>
      <c r="F3" s="402"/>
      <c r="G3" s="402"/>
      <c r="H3" s="402"/>
      <c r="I3" s="403"/>
      <c r="J3" s="253"/>
      <c r="K3" s="253"/>
      <c r="L3" s="253"/>
      <c r="M3" s="253"/>
      <c r="N3" s="253"/>
    </row>
    <row r="4" spans="1:26" ht="15.5">
      <c r="A4" s="452" t="s">
        <v>93</v>
      </c>
      <c r="B4" s="453"/>
      <c r="C4" s="390" t="s">
        <v>91</v>
      </c>
      <c r="D4" s="382"/>
      <c r="E4" s="382"/>
      <c r="F4" s="383"/>
      <c r="G4" s="381" t="s">
        <v>92</v>
      </c>
      <c r="H4" s="382"/>
      <c r="I4" s="383"/>
      <c r="J4" s="252"/>
      <c r="K4" s="252"/>
      <c r="L4" s="252"/>
      <c r="M4" s="252"/>
      <c r="N4" s="252"/>
    </row>
    <row r="5" spans="1:26" ht="15.75" customHeight="1" thickBot="1">
      <c r="A5" s="454"/>
      <c r="B5" s="455"/>
      <c r="C5" s="37" t="s">
        <v>129</v>
      </c>
      <c r="D5" s="27" t="s">
        <v>95</v>
      </c>
      <c r="E5" s="28" t="s">
        <v>61</v>
      </c>
      <c r="F5" s="38" t="s">
        <v>79</v>
      </c>
      <c r="G5" s="44" t="s">
        <v>96</v>
      </c>
      <c r="H5" s="30" t="s">
        <v>85</v>
      </c>
      <c r="I5" s="31" t="s">
        <v>79</v>
      </c>
      <c r="J5" s="252"/>
      <c r="K5" s="252"/>
      <c r="L5" s="252"/>
      <c r="M5" s="252"/>
      <c r="N5" s="252"/>
    </row>
    <row r="6" spans="1:26" ht="21.75" customHeight="1">
      <c r="A6" s="476" t="s">
        <v>149</v>
      </c>
      <c r="B6" s="472"/>
      <c r="C6" s="34">
        <v>1</v>
      </c>
      <c r="D6" s="19" t="s">
        <v>148</v>
      </c>
      <c r="E6" s="11">
        <v>0</v>
      </c>
      <c r="F6" s="260">
        <f t="shared" ref="F6:F18" si="0">C6*E6</f>
        <v>0</v>
      </c>
      <c r="G6" s="34">
        <v>1</v>
      </c>
      <c r="H6" s="17">
        <v>0</v>
      </c>
      <c r="I6" s="261">
        <f t="shared" ref="I6:I18" si="1">G6*H6</f>
        <v>0</v>
      </c>
      <c r="J6" s="254"/>
      <c r="K6" s="254"/>
      <c r="L6" s="254"/>
      <c r="M6" s="254"/>
      <c r="N6" s="254"/>
      <c r="O6" s="6"/>
      <c r="P6" s="6"/>
      <c r="Q6" s="6"/>
      <c r="R6" s="6"/>
      <c r="S6" s="6"/>
      <c r="T6" s="6"/>
      <c r="U6" s="6"/>
      <c r="V6" s="6"/>
      <c r="W6" s="6"/>
      <c r="X6" s="6"/>
      <c r="Y6" s="6"/>
      <c r="Z6" s="6"/>
    </row>
    <row r="7" spans="1:26" ht="21.75" customHeight="1">
      <c r="A7" s="476"/>
      <c r="B7" s="472"/>
      <c r="C7" s="34"/>
      <c r="D7" s="19"/>
      <c r="E7" s="11"/>
      <c r="F7" s="260">
        <f>C7*E7</f>
        <v>0</v>
      </c>
      <c r="G7" s="43"/>
      <c r="H7" s="18"/>
      <c r="I7" s="179">
        <f t="shared" si="1"/>
        <v>0</v>
      </c>
      <c r="J7" s="254"/>
      <c r="K7" s="254"/>
      <c r="L7" s="254"/>
      <c r="M7" s="254"/>
      <c r="N7" s="254"/>
      <c r="O7" s="6"/>
      <c r="P7" s="6"/>
      <c r="Q7" s="6"/>
      <c r="R7" s="6"/>
      <c r="S7" s="6"/>
      <c r="T7" s="6"/>
      <c r="U7" s="6"/>
      <c r="V7" s="6"/>
      <c r="W7" s="6"/>
      <c r="X7" s="6"/>
      <c r="Y7" s="6"/>
      <c r="Z7" s="6"/>
    </row>
    <row r="8" spans="1:26" ht="21.75" customHeight="1">
      <c r="A8" s="476"/>
      <c r="B8" s="472"/>
      <c r="C8" s="34"/>
      <c r="D8" s="19"/>
      <c r="E8" s="11"/>
      <c r="F8" s="262">
        <f t="shared" si="0"/>
        <v>0</v>
      </c>
      <c r="G8" s="43"/>
      <c r="H8" s="18"/>
      <c r="I8" s="179">
        <f t="shared" si="1"/>
        <v>0</v>
      </c>
      <c r="J8" s="254"/>
      <c r="K8" s="254"/>
      <c r="L8" s="254"/>
      <c r="M8" s="254"/>
      <c r="N8" s="254"/>
      <c r="O8" s="6"/>
      <c r="P8" s="6"/>
      <c r="Q8" s="6"/>
      <c r="R8" s="6"/>
      <c r="S8" s="6"/>
      <c r="T8" s="6"/>
      <c r="U8" s="6"/>
      <c r="V8" s="6"/>
      <c r="W8" s="6"/>
      <c r="X8" s="6"/>
      <c r="Y8" s="6"/>
      <c r="Z8" s="6"/>
    </row>
    <row r="9" spans="1:26" ht="21.75" customHeight="1">
      <c r="A9" s="476"/>
      <c r="B9" s="472"/>
      <c r="C9" s="34"/>
      <c r="D9" s="19"/>
      <c r="E9" s="11"/>
      <c r="F9" s="262">
        <f t="shared" si="0"/>
        <v>0</v>
      </c>
      <c r="G9" s="43"/>
      <c r="H9" s="18"/>
      <c r="I9" s="179">
        <f t="shared" si="1"/>
        <v>0</v>
      </c>
      <c r="J9" s="254"/>
      <c r="K9" s="254"/>
      <c r="L9" s="254"/>
      <c r="M9" s="254"/>
      <c r="N9" s="254"/>
      <c r="O9" s="6"/>
      <c r="P9" s="6"/>
      <c r="Q9" s="6"/>
      <c r="R9" s="6"/>
      <c r="S9" s="6"/>
      <c r="T9" s="6"/>
      <c r="U9" s="6"/>
      <c r="V9" s="6"/>
      <c r="W9" s="6"/>
      <c r="X9" s="6"/>
      <c r="Y9" s="6"/>
      <c r="Z9" s="6"/>
    </row>
    <row r="10" spans="1:26" ht="21.75" customHeight="1">
      <c r="A10" s="476"/>
      <c r="B10" s="472"/>
      <c r="C10" s="34"/>
      <c r="D10" s="19"/>
      <c r="E10" s="11"/>
      <c r="F10" s="260">
        <f t="shared" si="0"/>
        <v>0</v>
      </c>
      <c r="G10" s="43"/>
      <c r="H10" s="18"/>
      <c r="I10" s="179">
        <f t="shared" si="1"/>
        <v>0</v>
      </c>
      <c r="J10" s="254"/>
      <c r="K10" s="254"/>
      <c r="L10" s="254"/>
      <c r="M10" s="254"/>
      <c r="N10" s="254"/>
      <c r="O10" s="6"/>
      <c r="P10" s="6"/>
      <c r="Q10" s="6"/>
      <c r="R10" s="6"/>
      <c r="S10" s="6"/>
      <c r="T10" s="6"/>
      <c r="U10" s="6"/>
      <c r="V10" s="6"/>
      <c r="W10" s="6"/>
      <c r="X10" s="6"/>
      <c r="Y10" s="6"/>
      <c r="Z10" s="6"/>
    </row>
    <row r="11" spans="1:26" ht="21.75" customHeight="1">
      <c r="A11" s="476"/>
      <c r="B11" s="472"/>
      <c r="C11" s="34"/>
      <c r="D11" s="19"/>
      <c r="E11" s="11"/>
      <c r="F11" s="260">
        <f t="shared" si="0"/>
        <v>0</v>
      </c>
      <c r="G11" s="43"/>
      <c r="H11" s="18"/>
      <c r="I11" s="179">
        <f t="shared" si="1"/>
        <v>0</v>
      </c>
      <c r="J11" s="254"/>
      <c r="K11" s="254"/>
      <c r="L11" s="254"/>
      <c r="M11" s="254"/>
      <c r="N11" s="254"/>
      <c r="O11" s="6"/>
      <c r="P11" s="6"/>
      <c r="Q11" s="6"/>
      <c r="R11" s="6"/>
      <c r="S11" s="6"/>
      <c r="T11" s="6"/>
      <c r="U11" s="6"/>
      <c r="V11" s="6"/>
      <c r="W11" s="6"/>
      <c r="X11" s="6"/>
      <c r="Y11" s="6"/>
      <c r="Z11" s="6"/>
    </row>
    <row r="12" spans="1:26" ht="21.75" customHeight="1">
      <c r="A12" s="476"/>
      <c r="B12" s="472"/>
      <c r="C12" s="34"/>
      <c r="D12" s="19"/>
      <c r="E12" s="11"/>
      <c r="F12" s="260">
        <f t="shared" si="0"/>
        <v>0</v>
      </c>
      <c r="G12" s="43"/>
      <c r="H12" s="18"/>
      <c r="I12" s="179">
        <f t="shared" si="1"/>
        <v>0</v>
      </c>
      <c r="J12" s="254"/>
      <c r="K12" s="254"/>
      <c r="L12" s="254"/>
      <c r="M12" s="254"/>
      <c r="N12" s="254"/>
      <c r="O12" s="6"/>
      <c r="P12" s="6"/>
      <c r="Q12" s="6"/>
      <c r="R12" s="6"/>
      <c r="S12" s="6"/>
      <c r="T12" s="6"/>
      <c r="U12" s="6"/>
      <c r="V12" s="6"/>
      <c r="W12" s="6"/>
      <c r="X12" s="6"/>
      <c r="Y12" s="6"/>
      <c r="Z12" s="6"/>
    </row>
    <row r="13" spans="1:26" ht="21.75" customHeight="1">
      <c r="A13" s="476"/>
      <c r="B13" s="472"/>
      <c r="C13" s="34"/>
      <c r="D13" s="19"/>
      <c r="E13" s="11"/>
      <c r="F13" s="260">
        <f t="shared" si="0"/>
        <v>0</v>
      </c>
      <c r="G13" s="43"/>
      <c r="H13" s="18"/>
      <c r="I13" s="179">
        <f t="shared" si="1"/>
        <v>0</v>
      </c>
      <c r="J13" s="254"/>
      <c r="K13" s="254"/>
      <c r="L13" s="254"/>
      <c r="M13" s="254"/>
      <c r="N13" s="254"/>
      <c r="O13" s="6"/>
      <c r="P13" s="6"/>
      <c r="Q13" s="6"/>
      <c r="R13" s="6"/>
      <c r="S13" s="6"/>
      <c r="T13" s="6"/>
      <c r="U13" s="6"/>
      <c r="V13" s="6"/>
      <c r="W13" s="6"/>
      <c r="X13" s="6"/>
      <c r="Y13" s="6"/>
      <c r="Z13" s="6"/>
    </row>
    <row r="14" spans="1:26" ht="21.75" customHeight="1">
      <c r="A14" s="476"/>
      <c r="B14" s="472"/>
      <c r="C14" s="34"/>
      <c r="D14" s="19"/>
      <c r="E14" s="11"/>
      <c r="F14" s="260">
        <f t="shared" si="0"/>
        <v>0</v>
      </c>
      <c r="G14" s="43"/>
      <c r="H14" s="18"/>
      <c r="I14" s="179">
        <f t="shared" si="1"/>
        <v>0</v>
      </c>
      <c r="J14" s="254"/>
      <c r="K14" s="254"/>
      <c r="L14" s="254"/>
      <c r="M14" s="254"/>
      <c r="N14" s="254"/>
      <c r="O14" s="6"/>
      <c r="P14" s="6"/>
      <c r="Q14" s="6"/>
      <c r="R14" s="6"/>
      <c r="S14" s="6"/>
      <c r="T14" s="6"/>
      <c r="U14" s="6"/>
      <c r="V14" s="6"/>
      <c r="W14" s="6"/>
      <c r="X14" s="6"/>
      <c r="Y14" s="6"/>
      <c r="Z14" s="6"/>
    </row>
    <row r="15" spans="1:26" ht="21.75" customHeight="1">
      <c r="A15" s="476"/>
      <c r="B15" s="472"/>
      <c r="C15" s="34"/>
      <c r="D15" s="19"/>
      <c r="E15" s="11"/>
      <c r="F15" s="260">
        <f t="shared" si="0"/>
        <v>0</v>
      </c>
      <c r="G15" s="43"/>
      <c r="H15" s="18"/>
      <c r="I15" s="179">
        <f t="shared" si="1"/>
        <v>0</v>
      </c>
      <c r="J15" s="254"/>
      <c r="K15" s="254"/>
      <c r="L15" s="254"/>
      <c r="M15" s="254"/>
      <c r="N15" s="254"/>
      <c r="O15" s="6"/>
      <c r="P15" s="6"/>
      <c r="Q15" s="6"/>
      <c r="R15" s="6"/>
      <c r="S15" s="6"/>
      <c r="T15" s="6"/>
      <c r="U15" s="6"/>
      <c r="V15" s="6"/>
      <c r="W15" s="6"/>
      <c r="X15" s="6"/>
      <c r="Y15" s="6"/>
      <c r="Z15" s="6"/>
    </row>
    <row r="16" spans="1:26" ht="21.75" customHeight="1">
      <c r="A16" s="476"/>
      <c r="B16" s="472"/>
      <c r="C16" s="34"/>
      <c r="D16" s="19"/>
      <c r="E16" s="11"/>
      <c r="F16" s="260">
        <f t="shared" si="0"/>
        <v>0</v>
      </c>
      <c r="G16" s="43"/>
      <c r="H16" s="18"/>
      <c r="I16" s="179">
        <f t="shared" si="1"/>
        <v>0</v>
      </c>
      <c r="J16" s="254"/>
      <c r="K16" s="254"/>
      <c r="L16" s="254"/>
      <c r="M16" s="254"/>
      <c r="N16" s="254"/>
      <c r="O16" s="6"/>
      <c r="P16" s="6"/>
      <c r="Q16" s="6"/>
      <c r="R16" s="6"/>
      <c r="S16" s="6"/>
      <c r="T16" s="6"/>
      <c r="U16" s="6"/>
      <c r="V16" s="6"/>
      <c r="W16" s="6"/>
      <c r="X16" s="6"/>
      <c r="Y16" s="6"/>
      <c r="Z16" s="6"/>
    </row>
    <row r="17" spans="1:26" ht="21.75" customHeight="1">
      <c r="A17" s="476"/>
      <c r="B17" s="472"/>
      <c r="C17" s="34"/>
      <c r="D17" s="19"/>
      <c r="E17" s="11"/>
      <c r="F17" s="260">
        <f t="shared" si="0"/>
        <v>0</v>
      </c>
      <c r="G17" s="43"/>
      <c r="H17" s="18"/>
      <c r="I17" s="179">
        <f t="shared" si="1"/>
        <v>0</v>
      </c>
      <c r="J17" s="254"/>
      <c r="K17" s="254"/>
      <c r="L17" s="254"/>
      <c r="M17" s="254"/>
      <c r="N17" s="254"/>
      <c r="O17" s="6"/>
      <c r="P17" s="6"/>
      <c r="Q17" s="6"/>
      <c r="R17" s="6"/>
      <c r="S17" s="6"/>
      <c r="T17" s="6"/>
      <c r="U17" s="6"/>
      <c r="V17" s="6"/>
      <c r="W17" s="6"/>
      <c r="X17" s="6"/>
      <c r="Y17" s="6"/>
      <c r="Z17" s="6"/>
    </row>
    <row r="18" spans="1:26" ht="21.75" customHeight="1">
      <c r="A18" s="476"/>
      <c r="B18" s="472"/>
      <c r="C18" s="34"/>
      <c r="D18" s="19"/>
      <c r="E18" s="11"/>
      <c r="F18" s="263">
        <f t="shared" si="0"/>
        <v>0</v>
      </c>
      <c r="G18" s="34"/>
      <c r="H18" s="16"/>
      <c r="I18" s="182">
        <f t="shared" si="1"/>
        <v>0</v>
      </c>
      <c r="J18" s="254"/>
      <c r="K18" s="254"/>
      <c r="L18" s="254"/>
      <c r="M18" s="254"/>
      <c r="N18" s="254"/>
      <c r="O18" s="6"/>
      <c r="P18" s="6"/>
      <c r="Q18" s="6"/>
      <c r="R18" s="6"/>
      <c r="S18" s="6"/>
      <c r="T18" s="6"/>
      <c r="U18" s="6"/>
      <c r="V18" s="6"/>
      <c r="W18" s="6"/>
      <c r="X18" s="6"/>
      <c r="Y18" s="6"/>
      <c r="Z18" s="6"/>
    </row>
    <row r="19" spans="1:26" ht="15.75" customHeight="1" thickBot="1">
      <c r="A19" s="46"/>
      <c r="B19" s="47"/>
      <c r="C19" s="467" t="s">
        <v>122</v>
      </c>
      <c r="D19" s="468"/>
      <c r="E19" s="468"/>
      <c r="F19" s="25">
        <f>SUM(F6:F18)</f>
        <v>0</v>
      </c>
      <c r="G19" s="467" t="s">
        <v>123</v>
      </c>
      <c r="H19" s="468"/>
      <c r="I19" s="25">
        <f>SUM(I6:I18)</f>
        <v>0</v>
      </c>
      <c r="J19" s="255"/>
      <c r="K19" s="255"/>
      <c r="L19" s="255"/>
      <c r="M19" s="255"/>
      <c r="N19" s="255"/>
      <c r="O19" s="7"/>
      <c r="P19" s="7"/>
      <c r="Q19" s="7"/>
      <c r="R19" s="7"/>
      <c r="S19" s="7"/>
      <c r="T19" s="7"/>
      <c r="U19" s="7"/>
      <c r="V19" s="7"/>
      <c r="W19" s="7"/>
      <c r="X19" s="7"/>
      <c r="Y19" s="7"/>
      <c r="Z19" s="7"/>
    </row>
    <row r="20" spans="1:26" ht="20.149999999999999" customHeight="1" thickBot="1">
      <c r="A20" s="469" t="s">
        <v>125</v>
      </c>
      <c r="B20" s="470"/>
      <c r="C20" s="470"/>
      <c r="D20" s="470"/>
      <c r="E20" s="470"/>
      <c r="F20" s="470"/>
      <c r="G20" s="470"/>
      <c r="H20" s="470"/>
      <c r="I20" s="26">
        <f>SUM(I19,F19)</f>
        <v>0</v>
      </c>
      <c r="J20" s="255"/>
      <c r="K20" s="255"/>
      <c r="L20" s="255"/>
      <c r="M20" s="255"/>
      <c r="N20" s="255"/>
      <c r="O20" s="7"/>
      <c r="P20" s="7"/>
      <c r="Q20" s="7"/>
      <c r="R20" s="7"/>
      <c r="S20" s="7"/>
      <c r="T20" s="7"/>
      <c r="U20" s="7"/>
      <c r="V20" s="7"/>
      <c r="W20" s="7"/>
      <c r="X20" s="7"/>
      <c r="Y20" s="7"/>
      <c r="Z20" s="7"/>
    </row>
    <row r="21" spans="1:26" ht="36" customHeight="1" thickBot="1">
      <c r="A21" s="477" t="s">
        <v>155</v>
      </c>
      <c r="B21" s="478"/>
      <c r="C21" s="478"/>
      <c r="D21" s="478"/>
      <c r="E21" s="478"/>
      <c r="F21" s="478"/>
      <c r="G21" s="478"/>
      <c r="H21" s="478"/>
      <c r="I21" s="479"/>
      <c r="J21" s="255"/>
      <c r="K21" s="255"/>
      <c r="L21" s="255"/>
      <c r="M21" s="255"/>
      <c r="N21" s="255"/>
      <c r="O21" s="7"/>
      <c r="P21" s="7"/>
      <c r="Q21" s="7"/>
      <c r="R21" s="7"/>
      <c r="S21" s="7"/>
      <c r="T21" s="7"/>
      <c r="U21" s="7"/>
      <c r="V21" s="7"/>
      <c r="W21" s="7"/>
      <c r="X21" s="7"/>
      <c r="Y21" s="7"/>
      <c r="Z21" s="7"/>
    </row>
    <row r="22" spans="1:26" ht="15.5">
      <c r="A22" s="452" t="s">
        <v>93</v>
      </c>
      <c r="B22" s="453"/>
      <c r="C22" s="390" t="s">
        <v>91</v>
      </c>
      <c r="D22" s="382"/>
      <c r="E22" s="382"/>
      <c r="F22" s="383"/>
      <c r="G22" s="381" t="s">
        <v>92</v>
      </c>
      <c r="H22" s="382"/>
      <c r="I22" s="383"/>
      <c r="J22" s="256"/>
      <c r="K22" s="256"/>
      <c r="L22" s="256"/>
      <c r="M22" s="256"/>
      <c r="N22" s="256"/>
      <c r="O22" s="8"/>
      <c r="P22" s="8"/>
      <c r="Q22" s="8"/>
      <c r="R22" s="8"/>
      <c r="S22" s="8"/>
      <c r="T22" s="8"/>
      <c r="U22" s="8"/>
      <c r="V22" s="8"/>
      <c r="W22" s="8"/>
      <c r="X22" s="8"/>
      <c r="Y22" s="8"/>
      <c r="Z22" s="8"/>
    </row>
    <row r="23" spans="1:26" ht="15.75" customHeight="1" thickBot="1">
      <c r="A23" s="454"/>
      <c r="B23" s="455"/>
      <c r="C23" s="37" t="s">
        <v>129</v>
      </c>
      <c r="D23" s="27" t="s">
        <v>95</v>
      </c>
      <c r="E23" s="28" t="s">
        <v>61</v>
      </c>
      <c r="F23" s="38" t="s">
        <v>79</v>
      </c>
      <c r="G23" s="44" t="s">
        <v>96</v>
      </c>
      <c r="H23" s="30" t="s">
        <v>85</v>
      </c>
      <c r="I23" s="31" t="s">
        <v>79</v>
      </c>
      <c r="J23" s="256"/>
      <c r="K23" s="256"/>
      <c r="L23" s="256"/>
      <c r="M23" s="256"/>
      <c r="N23" s="256"/>
      <c r="O23" s="8"/>
      <c r="P23" s="8"/>
      <c r="Q23" s="8"/>
      <c r="R23" s="8"/>
      <c r="S23" s="8"/>
      <c r="T23" s="8"/>
      <c r="U23" s="8"/>
      <c r="V23" s="8"/>
      <c r="W23" s="8"/>
      <c r="X23" s="8"/>
      <c r="Y23" s="8"/>
      <c r="Z23" s="8"/>
    </row>
    <row r="24" spans="1:26" ht="21.75" customHeight="1">
      <c r="A24" s="471"/>
      <c r="B24" s="472"/>
      <c r="C24" s="39">
        <v>1</v>
      </c>
      <c r="D24" s="20"/>
      <c r="E24" s="12">
        <v>0</v>
      </c>
      <c r="F24" s="40">
        <f t="shared" ref="F24:F36" si="2">C24*E24</f>
        <v>0</v>
      </c>
      <c r="G24" s="39">
        <v>1</v>
      </c>
      <c r="H24" s="12">
        <v>0</v>
      </c>
      <c r="I24" s="264">
        <f>G24*H24</f>
        <v>0</v>
      </c>
      <c r="J24" s="252"/>
      <c r="K24" s="252"/>
      <c r="L24" s="252"/>
      <c r="M24" s="252"/>
      <c r="N24" s="252"/>
    </row>
    <row r="25" spans="1:26" ht="21.75" customHeight="1">
      <c r="A25" s="471"/>
      <c r="B25" s="472"/>
      <c r="C25" s="39"/>
      <c r="D25" s="20"/>
      <c r="E25" s="12"/>
      <c r="F25" s="40">
        <f t="shared" si="2"/>
        <v>0</v>
      </c>
      <c r="G25" s="39"/>
      <c r="H25" s="12"/>
      <c r="I25" s="206">
        <f t="shared" ref="I25:I36" si="3">G25*H25</f>
        <v>0</v>
      </c>
      <c r="J25" s="252"/>
      <c r="K25" s="252"/>
      <c r="L25" s="252"/>
      <c r="M25" s="252"/>
      <c r="N25" s="252"/>
    </row>
    <row r="26" spans="1:26" ht="21.75" customHeight="1">
      <c r="A26" s="471"/>
      <c r="B26" s="472"/>
      <c r="C26" s="39"/>
      <c r="D26" s="20"/>
      <c r="E26" s="12"/>
      <c r="F26" s="40">
        <f t="shared" si="2"/>
        <v>0</v>
      </c>
      <c r="G26" s="39"/>
      <c r="H26" s="12"/>
      <c r="I26" s="206">
        <f t="shared" si="3"/>
        <v>0</v>
      </c>
      <c r="J26" s="252"/>
      <c r="K26" s="252"/>
      <c r="L26" s="252"/>
      <c r="M26" s="252"/>
      <c r="N26" s="252"/>
    </row>
    <row r="27" spans="1:26" ht="21.75" customHeight="1">
      <c r="A27" s="471"/>
      <c r="B27" s="472"/>
      <c r="C27" s="39"/>
      <c r="D27" s="20"/>
      <c r="E27" s="12"/>
      <c r="F27" s="40">
        <f t="shared" si="2"/>
        <v>0</v>
      </c>
      <c r="G27" s="39"/>
      <c r="H27" s="12"/>
      <c r="I27" s="206">
        <f t="shared" si="3"/>
        <v>0</v>
      </c>
      <c r="J27" s="252"/>
      <c r="K27" s="252"/>
      <c r="L27" s="252"/>
      <c r="M27" s="252"/>
      <c r="N27" s="252"/>
    </row>
    <row r="28" spans="1:26" ht="21.75" customHeight="1">
      <c r="A28" s="471"/>
      <c r="B28" s="472"/>
      <c r="C28" s="39"/>
      <c r="D28" s="20"/>
      <c r="E28" s="12"/>
      <c r="F28" s="40">
        <f t="shared" si="2"/>
        <v>0</v>
      </c>
      <c r="G28" s="39"/>
      <c r="H28" s="12"/>
      <c r="I28" s="206">
        <f t="shared" si="3"/>
        <v>0</v>
      </c>
      <c r="J28" s="252"/>
      <c r="K28" s="252"/>
      <c r="L28" s="252"/>
      <c r="M28" s="252"/>
      <c r="N28" s="252"/>
    </row>
    <row r="29" spans="1:26" ht="21.75" customHeight="1">
      <c r="A29" s="471"/>
      <c r="B29" s="472"/>
      <c r="C29" s="39"/>
      <c r="D29" s="20"/>
      <c r="E29" s="12"/>
      <c r="F29" s="40">
        <f t="shared" si="2"/>
        <v>0</v>
      </c>
      <c r="G29" s="39"/>
      <c r="H29" s="12"/>
      <c r="I29" s="206">
        <f t="shared" si="3"/>
        <v>0</v>
      </c>
      <c r="J29" s="252"/>
      <c r="K29" s="252"/>
      <c r="L29" s="252"/>
      <c r="M29" s="252"/>
      <c r="N29" s="252"/>
    </row>
    <row r="30" spans="1:26" ht="21.75" customHeight="1">
      <c r="A30" s="471"/>
      <c r="B30" s="472"/>
      <c r="C30" s="39"/>
      <c r="D30" s="20"/>
      <c r="E30" s="12"/>
      <c r="F30" s="40">
        <f t="shared" si="2"/>
        <v>0</v>
      </c>
      <c r="G30" s="39"/>
      <c r="H30" s="12"/>
      <c r="I30" s="206">
        <f t="shared" si="3"/>
        <v>0</v>
      </c>
      <c r="J30" s="252"/>
      <c r="K30" s="252"/>
      <c r="L30" s="252"/>
      <c r="M30" s="252"/>
      <c r="N30" s="252"/>
    </row>
    <row r="31" spans="1:26" ht="21.75" customHeight="1">
      <c r="A31" s="471"/>
      <c r="B31" s="472"/>
      <c r="C31" s="39"/>
      <c r="D31" s="20"/>
      <c r="E31" s="12"/>
      <c r="F31" s="40">
        <f t="shared" si="2"/>
        <v>0</v>
      </c>
      <c r="G31" s="39"/>
      <c r="H31" s="12"/>
      <c r="I31" s="206">
        <f t="shared" si="3"/>
        <v>0</v>
      </c>
      <c r="J31" s="252"/>
      <c r="K31" s="252"/>
      <c r="L31" s="252"/>
      <c r="M31" s="252"/>
      <c r="N31" s="252"/>
    </row>
    <row r="32" spans="1:26" ht="21.75" customHeight="1">
      <c r="A32" s="471"/>
      <c r="B32" s="472"/>
      <c r="C32" s="39"/>
      <c r="D32" s="20"/>
      <c r="E32" s="12"/>
      <c r="F32" s="40">
        <f t="shared" si="2"/>
        <v>0</v>
      </c>
      <c r="G32" s="39"/>
      <c r="H32" s="12"/>
      <c r="I32" s="206">
        <f t="shared" si="3"/>
        <v>0</v>
      </c>
      <c r="J32" s="252"/>
      <c r="K32" s="252"/>
      <c r="L32" s="252"/>
      <c r="M32" s="252"/>
      <c r="N32" s="252"/>
    </row>
    <row r="33" spans="1:14" ht="21.75" customHeight="1">
      <c r="A33" s="471"/>
      <c r="B33" s="472"/>
      <c r="C33" s="39"/>
      <c r="D33" s="20"/>
      <c r="E33" s="12"/>
      <c r="F33" s="40">
        <f t="shared" si="2"/>
        <v>0</v>
      </c>
      <c r="G33" s="39"/>
      <c r="H33" s="12"/>
      <c r="I33" s="206">
        <f t="shared" si="3"/>
        <v>0</v>
      </c>
      <c r="J33" s="252"/>
      <c r="K33" s="252"/>
      <c r="L33" s="252"/>
      <c r="M33" s="252"/>
      <c r="N33" s="252"/>
    </row>
    <row r="34" spans="1:14" ht="21.75" customHeight="1">
      <c r="A34" s="471"/>
      <c r="B34" s="472"/>
      <c r="C34" s="39"/>
      <c r="D34" s="20"/>
      <c r="E34" s="12"/>
      <c r="F34" s="40">
        <f t="shared" si="2"/>
        <v>0</v>
      </c>
      <c r="G34" s="39"/>
      <c r="H34" s="12"/>
      <c r="I34" s="206">
        <f t="shared" si="3"/>
        <v>0</v>
      </c>
      <c r="J34" s="252"/>
      <c r="K34" s="252"/>
      <c r="L34" s="252"/>
      <c r="M34" s="252"/>
      <c r="N34" s="252"/>
    </row>
    <row r="35" spans="1:14" ht="21.75" customHeight="1">
      <c r="A35" s="471"/>
      <c r="B35" s="472"/>
      <c r="C35" s="39"/>
      <c r="D35" s="20"/>
      <c r="E35" s="12"/>
      <c r="F35" s="40">
        <f t="shared" si="2"/>
        <v>0</v>
      </c>
      <c r="G35" s="39"/>
      <c r="H35" s="12"/>
      <c r="I35" s="206">
        <f t="shared" si="3"/>
        <v>0</v>
      </c>
      <c r="J35" s="252"/>
      <c r="K35" s="252"/>
      <c r="L35" s="252"/>
      <c r="M35" s="252"/>
      <c r="N35" s="252"/>
    </row>
    <row r="36" spans="1:14" ht="21.75" customHeight="1">
      <c r="A36" s="471"/>
      <c r="B36" s="472"/>
      <c r="C36" s="41"/>
      <c r="D36" s="21"/>
      <c r="E36" s="13"/>
      <c r="F36" s="42">
        <f t="shared" si="2"/>
        <v>0</v>
      </c>
      <c r="G36" s="41"/>
      <c r="H36" s="13"/>
      <c r="I36" s="265">
        <f t="shared" si="3"/>
        <v>0</v>
      </c>
      <c r="J36" s="252"/>
      <c r="K36" s="252"/>
      <c r="L36" s="252"/>
      <c r="M36" s="252"/>
      <c r="N36" s="252"/>
    </row>
    <row r="37" spans="1:14" ht="15.75" customHeight="1" thickBot="1">
      <c r="A37" s="46"/>
      <c r="B37" s="47"/>
      <c r="C37" s="473" t="s">
        <v>122</v>
      </c>
      <c r="D37" s="474"/>
      <c r="E37" s="475"/>
      <c r="F37" s="266">
        <f>SUM(F24:F36)</f>
        <v>0</v>
      </c>
      <c r="G37" s="473" t="s">
        <v>123</v>
      </c>
      <c r="H37" s="475"/>
      <c r="I37" s="266">
        <f>SUM(I24:I36)</f>
        <v>0</v>
      </c>
      <c r="J37" s="252"/>
      <c r="K37" s="252"/>
      <c r="L37" s="252"/>
      <c r="M37" s="252"/>
      <c r="N37" s="252"/>
    </row>
    <row r="38" spans="1:14" ht="20.149999999999999" customHeight="1" thickBot="1">
      <c r="A38" s="469" t="s">
        <v>124</v>
      </c>
      <c r="B38" s="470"/>
      <c r="C38" s="470"/>
      <c r="D38" s="470"/>
      <c r="E38" s="470"/>
      <c r="F38" s="470"/>
      <c r="G38" s="470"/>
      <c r="H38" s="470"/>
      <c r="I38" s="267">
        <f>SUM(I37,F37)</f>
        <v>0</v>
      </c>
      <c r="J38" s="252"/>
      <c r="K38" s="252"/>
      <c r="L38" s="252"/>
      <c r="M38" s="252"/>
      <c r="N38" s="252"/>
    </row>
    <row r="39" spans="1:14" ht="15.75" customHeight="1">
      <c r="A39" s="252"/>
      <c r="B39" s="252"/>
      <c r="C39" s="252"/>
      <c r="D39" s="252"/>
      <c r="E39" s="257"/>
      <c r="F39" s="252"/>
      <c r="G39" s="252"/>
      <c r="H39" s="252"/>
      <c r="I39" s="252"/>
      <c r="J39" s="252"/>
      <c r="K39" s="252"/>
      <c r="L39" s="252"/>
      <c r="M39" s="252"/>
      <c r="N39" s="252"/>
    </row>
    <row r="40" spans="1:14" ht="15.75" customHeight="1">
      <c r="A40" s="252"/>
      <c r="B40" s="252"/>
      <c r="C40" s="252"/>
      <c r="D40" s="252"/>
      <c r="E40" s="257"/>
      <c r="F40" s="252"/>
      <c r="G40" s="252"/>
      <c r="H40" s="252"/>
      <c r="I40" s="252"/>
      <c r="J40" s="252"/>
      <c r="K40" s="252"/>
      <c r="L40" s="252"/>
      <c r="M40" s="252"/>
      <c r="N40" s="252"/>
    </row>
    <row r="41" spans="1:14" ht="15.75" customHeight="1">
      <c r="A41" s="252"/>
      <c r="B41" s="252"/>
      <c r="C41" s="252"/>
      <c r="D41" s="252"/>
      <c r="E41" s="257"/>
      <c r="F41" s="252"/>
      <c r="G41" s="252"/>
      <c r="H41" s="252"/>
      <c r="I41" s="252"/>
      <c r="J41" s="252"/>
      <c r="K41" s="252"/>
      <c r="L41" s="252"/>
      <c r="M41" s="252"/>
      <c r="N41" s="252"/>
    </row>
    <row r="42" spans="1:14" ht="15.75" customHeight="1">
      <c r="A42" s="252"/>
      <c r="B42" s="252"/>
      <c r="C42" s="252"/>
      <c r="D42" s="252"/>
      <c r="E42" s="257"/>
      <c r="F42" s="252"/>
      <c r="G42" s="252"/>
      <c r="H42" s="252"/>
      <c r="I42" s="252"/>
      <c r="J42" s="252"/>
      <c r="K42" s="252"/>
      <c r="L42" s="252"/>
      <c r="M42" s="252"/>
      <c r="N42" s="252"/>
    </row>
    <row r="43" spans="1:14" ht="15.75" customHeight="1">
      <c r="A43" s="252"/>
      <c r="B43" s="252"/>
      <c r="C43" s="252"/>
      <c r="D43" s="252"/>
      <c r="E43" s="257"/>
      <c r="F43" s="252"/>
      <c r="G43" s="252"/>
      <c r="H43" s="252"/>
      <c r="I43" s="252"/>
      <c r="J43" s="252"/>
      <c r="K43" s="252"/>
      <c r="L43" s="252"/>
      <c r="M43" s="252"/>
      <c r="N43" s="252"/>
    </row>
    <row r="44" spans="1:14" ht="15.75" customHeight="1">
      <c r="A44" s="252"/>
      <c r="B44" s="252"/>
      <c r="C44" s="252"/>
      <c r="D44" s="252"/>
      <c r="E44" s="257"/>
      <c r="F44" s="252"/>
      <c r="G44" s="252"/>
      <c r="H44" s="252"/>
      <c r="I44" s="252"/>
      <c r="J44" s="252"/>
      <c r="K44" s="252"/>
      <c r="L44" s="252"/>
      <c r="M44" s="252"/>
      <c r="N44" s="252"/>
    </row>
    <row r="45" spans="1:14" ht="15.75" customHeight="1">
      <c r="A45" s="252"/>
      <c r="B45" s="252"/>
      <c r="C45" s="252"/>
      <c r="D45" s="252"/>
      <c r="E45" s="257"/>
      <c r="F45" s="252"/>
      <c r="G45" s="252"/>
      <c r="H45" s="252"/>
      <c r="I45" s="252"/>
      <c r="J45" s="252"/>
      <c r="K45" s="252"/>
      <c r="L45" s="252"/>
      <c r="M45" s="252"/>
      <c r="N45" s="252"/>
    </row>
    <row r="46" spans="1:14" ht="15.75" customHeight="1">
      <c r="A46" s="252"/>
      <c r="B46" s="252"/>
      <c r="C46" s="252"/>
      <c r="D46" s="252"/>
      <c r="E46" s="257"/>
      <c r="F46" s="252"/>
      <c r="G46" s="252"/>
      <c r="H46" s="252"/>
      <c r="I46" s="252"/>
      <c r="J46" s="252"/>
      <c r="K46" s="252"/>
      <c r="L46" s="252"/>
      <c r="M46" s="252"/>
      <c r="N46" s="252"/>
    </row>
    <row r="47" spans="1:14" ht="15.75" customHeight="1">
      <c r="A47" s="252"/>
      <c r="B47" s="252"/>
      <c r="C47" s="252"/>
      <c r="D47" s="252"/>
      <c r="E47" s="257"/>
      <c r="F47" s="252"/>
      <c r="G47" s="252"/>
      <c r="H47" s="252"/>
      <c r="I47" s="252"/>
      <c r="J47" s="252"/>
      <c r="K47" s="252"/>
      <c r="L47" s="252"/>
      <c r="M47" s="252"/>
      <c r="N47" s="252"/>
    </row>
    <row r="48" spans="1:14" ht="15.75" customHeight="1">
      <c r="A48" s="252"/>
      <c r="B48" s="252"/>
      <c r="C48" s="252"/>
      <c r="D48" s="252"/>
      <c r="E48" s="257"/>
      <c r="F48" s="252"/>
      <c r="G48" s="252"/>
      <c r="H48" s="252"/>
      <c r="I48" s="252"/>
      <c r="J48" s="252"/>
      <c r="K48" s="252"/>
      <c r="L48" s="252"/>
      <c r="M48" s="252"/>
      <c r="N48" s="252"/>
    </row>
    <row r="49" spans="5:5" ht="15.75" customHeight="1">
      <c r="E49" s="9"/>
    </row>
    <row r="50" spans="5:5" ht="15.75" customHeight="1">
      <c r="E50" s="9"/>
    </row>
    <row r="51" spans="5:5" ht="15.75" customHeight="1">
      <c r="E51" s="9"/>
    </row>
    <row r="52" spans="5:5" ht="15.75" customHeight="1">
      <c r="E52" s="9"/>
    </row>
    <row r="53" spans="5:5" ht="15.75" customHeight="1">
      <c r="E53" s="9"/>
    </row>
    <row r="54" spans="5:5" ht="15.75" customHeight="1">
      <c r="E54" s="9"/>
    </row>
    <row r="55" spans="5:5" ht="15.75" customHeight="1">
      <c r="E55" s="9"/>
    </row>
    <row r="56" spans="5:5" ht="15.75" customHeight="1">
      <c r="E56" s="9"/>
    </row>
    <row r="57" spans="5:5" ht="15.75" customHeight="1">
      <c r="E57" s="9"/>
    </row>
    <row r="58" spans="5:5" ht="15.75" customHeight="1">
      <c r="E58" s="9"/>
    </row>
    <row r="59" spans="5:5" ht="15.75" customHeight="1">
      <c r="E59" s="9"/>
    </row>
    <row r="60" spans="5:5" ht="15.75" customHeight="1">
      <c r="E60" s="9"/>
    </row>
    <row r="61" spans="5:5" ht="15.75" customHeight="1">
      <c r="E61" s="9"/>
    </row>
    <row r="62" spans="5:5" ht="15.75" customHeight="1">
      <c r="E62" s="9"/>
    </row>
    <row r="63" spans="5:5" ht="15.75" customHeight="1">
      <c r="E63" s="9"/>
    </row>
    <row r="64" spans="5: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36:B36"/>
    <mergeCell ref="C37:E37"/>
    <mergeCell ref="G37:H37"/>
    <mergeCell ref="A38:H38"/>
    <mergeCell ref="A30:B30"/>
    <mergeCell ref="A31:B31"/>
    <mergeCell ref="A32:B32"/>
    <mergeCell ref="A33:B33"/>
    <mergeCell ref="A34:B34"/>
    <mergeCell ref="A35:B35"/>
    <mergeCell ref="A29:B29"/>
    <mergeCell ref="A18:B18"/>
    <mergeCell ref="C19:E19"/>
    <mergeCell ref="G19:H19"/>
    <mergeCell ref="A20:H20"/>
    <mergeCell ref="A21:I21"/>
    <mergeCell ref="A22:B23"/>
    <mergeCell ref="C22:F22"/>
    <mergeCell ref="G22:I22"/>
    <mergeCell ref="A24:B24"/>
    <mergeCell ref="A25:B25"/>
    <mergeCell ref="A26:B26"/>
    <mergeCell ref="A27:B27"/>
    <mergeCell ref="A28:B28"/>
    <mergeCell ref="A17:B17"/>
    <mergeCell ref="A6:B6"/>
    <mergeCell ref="A7:B7"/>
    <mergeCell ref="A8:B8"/>
    <mergeCell ref="A9:B9"/>
    <mergeCell ref="A10:B10"/>
    <mergeCell ref="A11:B11"/>
    <mergeCell ref="A12:B12"/>
    <mergeCell ref="A13:B13"/>
    <mergeCell ref="A14:B14"/>
    <mergeCell ref="A15:B15"/>
    <mergeCell ref="A16:B16"/>
    <mergeCell ref="A3:I3"/>
    <mergeCell ref="A4:B5"/>
    <mergeCell ref="C4:F4"/>
    <mergeCell ref="G4:I4"/>
    <mergeCell ref="A1:F2"/>
  </mergeCells>
  <conditionalFormatting sqref="G2:H2">
    <cfRule type="expression" dxfId="22" priority="1" stopIfTrue="1">
      <formula>"MM/DD/YY"</formula>
    </cfRule>
  </conditionalFormatting>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7169" r:id="rId4" name="CommandButton1">
          <controlPr defaultSize="0" autoLine="0" altText="Add A Row Command Button" r:id="rId5">
            <anchor moveWithCells="1">
              <from>
                <xdr:col>9</xdr:col>
                <xdr:colOff>279400</xdr:colOff>
                <xdr:row>17</xdr:row>
                <xdr:rowOff>12700</xdr:rowOff>
              </from>
              <to>
                <xdr:col>11</xdr:col>
                <xdr:colOff>406400</xdr:colOff>
                <xdr:row>18</xdr:row>
                <xdr:rowOff>25400</xdr:rowOff>
              </to>
            </anchor>
          </controlPr>
        </control>
      </mc:Choice>
      <mc:Fallback>
        <control shapeId="7169" r:id="rId4" name="CommandButton1"/>
      </mc:Fallback>
    </mc:AlternateContent>
  </control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FC4AD-186B-4440-85C4-25EAE18CA4A5}">
  <sheetPr codeName="Sheet4">
    <pageSetUpPr fitToPage="1"/>
  </sheetPr>
  <dimension ref="A1:Z1003"/>
  <sheetViews>
    <sheetView topLeftCell="C6" zoomScaleNormal="100" workbookViewId="0">
      <selection activeCell="M16" sqref="M16"/>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152</v>
      </c>
      <c r="B1" s="387"/>
      <c r="C1" s="387"/>
      <c r="D1" s="387"/>
      <c r="E1" s="387"/>
      <c r="F1" s="387"/>
      <c r="G1" s="258" t="s">
        <v>165</v>
      </c>
      <c r="H1" s="259"/>
      <c r="I1" s="162" t="s">
        <v>166</v>
      </c>
      <c r="J1" s="252"/>
      <c r="K1" s="252"/>
      <c r="L1" s="252"/>
      <c r="M1" s="252"/>
      <c r="N1" s="252"/>
    </row>
    <row r="2" spans="1:26" ht="15" customHeight="1" thickBot="1">
      <c r="A2" s="388"/>
      <c r="B2" s="389"/>
      <c r="C2" s="389"/>
      <c r="D2" s="389"/>
      <c r="E2" s="389"/>
      <c r="F2" s="389"/>
      <c r="G2" s="163" t="str">
        <f>IF(INPUT!C3=0,"",INPUT!C3)</f>
        <v>RLP # 36C248-25-R-0110 – EXHIBIT K</v>
      </c>
      <c r="H2" s="163"/>
      <c r="I2" s="164" t="str">
        <f>IF(INPUT!C10=0,"",INPUT!C10)</f>
        <v/>
      </c>
      <c r="J2" s="252"/>
      <c r="K2" s="252"/>
      <c r="L2" s="252"/>
      <c r="M2" s="252"/>
      <c r="N2" s="252"/>
    </row>
    <row r="3" spans="1:26" s="10" customFormat="1" ht="36" customHeight="1" thickBot="1">
      <c r="A3" s="480" t="s">
        <v>153</v>
      </c>
      <c r="B3" s="402"/>
      <c r="C3" s="402"/>
      <c r="D3" s="402"/>
      <c r="E3" s="402"/>
      <c r="F3" s="402"/>
      <c r="G3" s="402"/>
      <c r="H3" s="402"/>
      <c r="I3" s="403"/>
      <c r="J3" s="253"/>
      <c r="K3" s="253"/>
      <c r="L3" s="253"/>
      <c r="M3" s="253"/>
      <c r="N3" s="253"/>
    </row>
    <row r="4" spans="1:26" ht="15.5">
      <c r="A4" s="452" t="s">
        <v>93</v>
      </c>
      <c r="B4" s="453"/>
      <c r="C4" s="390" t="s">
        <v>91</v>
      </c>
      <c r="D4" s="382"/>
      <c r="E4" s="382"/>
      <c r="F4" s="383"/>
      <c r="G4" s="381" t="s">
        <v>92</v>
      </c>
      <c r="H4" s="382"/>
      <c r="I4" s="383"/>
      <c r="J4" s="252"/>
      <c r="K4" s="252"/>
      <c r="L4" s="252"/>
      <c r="M4" s="252"/>
      <c r="N4" s="252"/>
    </row>
    <row r="5" spans="1:26" ht="15.75" customHeight="1" thickBot="1">
      <c r="A5" s="454"/>
      <c r="B5" s="455"/>
      <c r="C5" s="37" t="s">
        <v>129</v>
      </c>
      <c r="D5" s="27" t="s">
        <v>95</v>
      </c>
      <c r="E5" s="28" t="s">
        <v>61</v>
      </c>
      <c r="F5" s="38" t="s">
        <v>79</v>
      </c>
      <c r="G5" s="44" t="s">
        <v>96</v>
      </c>
      <c r="H5" s="30" t="s">
        <v>85</v>
      </c>
      <c r="I5" s="31" t="s">
        <v>79</v>
      </c>
      <c r="J5" s="252"/>
      <c r="K5" s="252"/>
      <c r="L5" s="252"/>
      <c r="M5" s="252"/>
      <c r="N5" s="252"/>
    </row>
    <row r="6" spans="1:26" ht="21.75" customHeight="1">
      <c r="A6" s="476" t="s">
        <v>149</v>
      </c>
      <c r="B6" s="472"/>
      <c r="C6" s="34">
        <v>1</v>
      </c>
      <c r="D6" s="19" t="s">
        <v>148</v>
      </c>
      <c r="E6" s="11">
        <v>0</v>
      </c>
      <c r="F6" s="260">
        <f t="shared" ref="F6:F18" si="0">C6*E6</f>
        <v>0</v>
      </c>
      <c r="G6" s="34">
        <v>1</v>
      </c>
      <c r="H6" s="17">
        <v>0</v>
      </c>
      <c r="I6" s="261">
        <f t="shared" ref="I6:I18" si="1">G6*H6</f>
        <v>0</v>
      </c>
      <c r="J6" s="254"/>
      <c r="K6" s="254"/>
      <c r="L6" s="254"/>
      <c r="M6" s="254"/>
      <c r="N6" s="254"/>
      <c r="O6" s="6"/>
      <c r="P6" s="6"/>
      <c r="Q6" s="6"/>
      <c r="R6" s="6"/>
      <c r="S6" s="6"/>
      <c r="T6" s="6"/>
      <c r="U6" s="6"/>
      <c r="V6" s="6"/>
      <c r="W6" s="6"/>
      <c r="X6" s="6"/>
      <c r="Y6" s="6"/>
      <c r="Z6" s="6"/>
    </row>
    <row r="7" spans="1:26" ht="21.75" customHeight="1">
      <c r="A7" s="476"/>
      <c r="B7" s="472"/>
      <c r="C7" s="34"/>
      <c r="D7" s="19"/>
      <c r="E7" s="11"/>
      <c r="F7" s="260">
        <f>C7*E7</f>
        <v>0</v>
      </c>
      <c r="G7" s="43"/>
      <c r="H7" s="18"/>
      <c r="I7" s="179">
        <f t="shared" si="1"/>
        <v>0</v>
      </c>
      <c r="J7" s="254"/>
      <c r="K7" s="254"/>
      <c r="L7" s="254"/>
      <c r="M7" s="254"/>
      <c r="N7" s="254"/>
      <c r="O7" s="6"/>
      <c r="P7" s="6"/>
      <c r="Q7" s="6"/>
      <c r="R7" s="6"/>
      <c r="S7" s="6"/>
      <c r="T7" s="6"/>
      <c r="U7" s="6"/>
      <c r="V7" s="6"/>
      <c r="W7" s="6"/>
      <c r="X7" s="6"/>
      <c r="Y7" s="6"/>
      <c r="Z7" s="6"/>
    </row>
    <row r="8" spans="1:26" ht="21.75" customHeight="1">
      <c r="A8" s="476"/>
      <c r="B8" s="472"/>
      <c r="C8" s="34"/>
      <c r="D8" s="19"/>
      <c r="E8" s="11"/>
      <c r="F8" s="262">
        <f t="shared" si="0"/>
        <v>0</v>
      </c>
      <c r="G8" s="43"/>
      <c r="H8" s="18"/>
      <c r="I8" s="179">
        <f t="shared" si="1"/>
        <v>0</v>
      </c>
      <c r="J8" s="254"/>
      <c r="K8" s="254"/>
      <c r="L8" s="254"/>
      <c r="M8" s="254"/>
      <c r="N8" s="254"/>
      <c r="O8" s="6"/>
      <c r="P8" s="6"/>
      <c r="Q8" s="6"/>
      <c r="R8" s="6"/>
      <c r="S8" s="6"/>
      <c r="T8" s="6"/>
      <c r="U8" s="6"/>
      <c r="V8" s="6"/>
      <c r="W8" s="6"/>
      <c r="X8" s="6"/>
      <c r="Y8" s="6"/>
      <c r="Z8" s="6"/>
    </row>
    <row r="9" spans="1:26" ht="21.75" customHeight="1">
      <c r="A9" s="476"/>
      <c r="B9" s="472"/>
      <c r="C9" s="34"/>
      <c r="D9" s="19"/>
      <c r="E9" s="11"/>
      <c r="F9" s="262">
        <f t="shared" si="0"/>
        <v>0</v>
      </c>
      <c r="G9" s="43"/>
      <c r="H9" s="18"/>
      <c r="I9" s="179">
        <f t="shared" si="1"/>
        <v>0</v>
      </c>
      <c r="J9" s="254"/>
      <c r="K9" s="254"/>
      <c r="L9" s="254"/>
      <c r="M9" s="254"/>
      <c r="N9" s="254"/>
      <c r="O9" s="6"/>
      <c r="P9" s="6"/>
      <c r="Q9" s="6"/>
      <c r="R9" s="6"/>
      <c r="S9" s="6"/>
      <c r="T9" s="6"/>
      <c r="U9" s="6"/>
      <c r="V9" s="6"/>
      <c r="W9" s="6"/>
      <c r="X9" s="6"/>
      <c r="Y9" s="6"/>
      <c r="Z9" s="6"/>
    </row>
    <row r="10" spans="1:26" ht="21.75" customHeight="1">
      <c r="A10" s="476"/>
      <c r="B10" s="472"/>
      <c r="C10" s="34"/>
      <c r="D10" s="19"/>
      <c r="E10" s="11"/>
      <c r="F10" s="260">
        <f t="shared" si="0"/>
        <v>0</v>
      </c>
      <c r="G10" s="43"/>
      <c r="H10" s="18"/>
      <c r="I10" s="179">
        <f t="shared" si="1"/>
        <v>0</v>
      </c>
      <c r="J10" s="254"/>
      <c r="K10" s="254"/>
      <c r="L10" s="254"/>
      <c r="M10" s="254"/>
      <c r="N10" s="254"/>
      <c r="O10" s="6"/>
      <c r="P10" s="6"/>
      <c r="Q10" s="6"/>
      <c r="R10" s="6"/>
      <c r="S10" s="6"/>
      <c r="T10" s="6"/>
      <c r="U10" s="6"/>
      <c r="V10" s="6"/>
      <c r="W10" s="6"/>
      <c r="X10" s="6"/>
      <c r="Y10" s="6"/>
      <c r="Z10" s="6"/>
    </row>
    <row r="11" spans="1:26" ht="21.75" customHeight="1">
      <c r="A11" s="476"/>
      <c r="B11" s="472"/>
      <c r="C11" s="34"/>
      <c r="D11" s="19"/>
      <c r="E11" s="11"/>
      <c r="F11" s="260">
        <f t="shared" si="0"/>
        <v>0</v>
      </c>
      <c r="G11" s="43"/>
      <c r="H11" s="18"/>
      <c r="I11" s="179">
        <f t="shared" si="1"/>
        <v>0</v>
      </c>
      <c r="J11" s="254"/>
      <c r="K11" s="254"/>
      <c r="L11" s="254"/>
      <c r="M11" s="254"/>
      <c r="N11" s="254"/>
      <c r="O11" s="6"/>
      <c r="P11" s="6"/>
      <c r="Q11" s="6"/>
      <c r="R11" s="6"/>
      <c r="S11" s="6"/>
      <c r="T11" s="6"/>
      <c r="U11" s="6"/>
      <c r="V11" s="6"/>
      <c r="W11" s="6"/>
      <c r="X11" s="6"/>
      <c r="Y11" s="6"/>
      <c r="Z11" s="6"/>
    </row>
    <row r="12" spans="1:26" ht="21.75" customHeight="1">
      <c r="A12" s="476"/>
      <c r="B12" s="472"/>
      <c r="C12" s="34"/>
      <c r="D12" s="19"/>
      <c r="E12" s="11"/>
      <c r="F12" s="260">
        <f t="shared" si="0"/>
        <v>0</v>
      </c>
      <c r="G12" s="43"/>
      <c r="H12" s="18"/>
      <c r="I12" s="179">
        <f t="shared" si="1"/>
        <v>0</v>
      </c>
      <c r="J12" s="254"/>
      <c r="K12" s="254"/>
      <c r="L12" s="254"/>
      <c r="M12" s="254"/>
      <c r="N12" s="254"/>
      <c r="O12" s="6"/>
      <c r="P12" s="6"/>
      <c r="Q12" s="6"/>
      <c r="R12" s="6"/>
      <c r="S12" s="6"/>
      <c r="T12" s="6"/>
      <c r="U12" s="6"/>
      <c r="V12" s="6"/>
      <c r="W12" s="6"/>
      <c r="X12" s="6"/>
      <c r="Y12" s="6"/>
      <c r="Z12" s="6"/>
    </row>
    <row r="13" spans="1:26" ht="21.75" customHeight="1">
      <c r="A13" s="476"/>
      <c r="B13" s="472"/>
      <c r="C13" s="34"/>
      <c r="D13" s="19"/>
      <c r="E13" s="11"/>
      <c r="F13" s="260">
        <f t="shared" si="0"/>
        <v>0</v>
      </c>
      <c r="G13" s="43"/>
      <c r="H13" s="18"/>
      <c r="I13" s="179">
        <f t="shared" si="1"/>
        <v>0</v>
      </c>
      <c r="J13" s="254"/>
      <c r="K13" s="254"/>
      <c r="L13" s="254"/>
      <c r="M13" s="254"/>
      <c r="N13" s="254"/>
      <c r="O13" s="6"/>
      <c r="P13" s="6"/>
      <c r="Q13" s="6"/>
      <c r="R13" s="6"/>
      <c r="S13" s="6"/>
      <c r="T13" s="6"/>
      <c r="U13" s="6"/>
      <c r="V13" s="6"/>
      <c r="W13" s="6"/>
      <c r="X13" s="6"/>
      <c r="Y13" s="6"/>
      <c r="Z13" s="6"/>
    </row>
    <row r="14" spans="1:26" ht="21.75" customHeight="1">
      <c r="A14" s="476"/>
      <c r="B14" s="472"/>
      <c r="C14" s="34"/>
      <c r="D14" s="19"/>
      <c r="E14" s="11"/>
      <c r="F14" s="260">
        <f t="shared" si="0"/>
        <v>0</v>
      </c>
      <c r="G14" s="43"/>
      <c r="H14" s="18"/>
      <c r="I14" s="179">
        <f t="shared" si="1"/>
        <v>0</v>
      </c>
      <c r="J14" s="254"/>
      <c r="K14" s="254"/>
      <c r="L14" s="254"/>
      <c r="M14" s="254"/>
      <c r="N14" s="254"/>
      <c r="O14" s="6"/>
      <c r="P14" s="6"/>
      <c r="Q14" s="6"/>
      <c r="R14" s="6"/>
      <c r="S14" s="6"/>
      <c r="T14" s="6"/>
      <c r="U14" s="6"/>
      <c r="V14" s="6"/>
      <c r="W14" s="6"/>
      <c r="X14" s="6"/>
      <c r="Y14" s="6"/>
      <c r="Z14" s="6"/>
    </row>
    <row r="15" spans="1:26" ht="21.75" customHeight="1">
      <c r="A15" s="476"/>
      <c r="B15" s="472"/>
      <c r="C15" s="34"/>
      <c r="D15" s="19"/>
      <c r="E15" s="11"/>
      <c r="F15" s="260">
        <f t="shared" si="0"/>
        <v>0</v>
      </c>
      <c r="G15" s="43"/>
      <c r="H15" s="18"/>
      <c r="I15" s="179">
        <f t="shared" si="1"/>
        <v>0</v>
      </c>
      <c r="J15" s="254"/>
      <c r="K15" s="254"/>
      <c r="L15" s="254"/>
      <c r="M15" s="254"/>
      <c r="N15" s="254"/>
      <c r="O15" s="6"/>
      <c r="P15" s="6"/>
      <c r="Q15" s="6"/>
      <c r="R15" s="6"/>
      <c r="S15" s="6"/>
      <c r="T15" s="6"/>
      <c r="U15" s="6"/>
      <c r="V15" s="6"/>
      <c r="W15" s="6"/>
      <c r="X15" s="6"/>
      <c r="Y15" s="6"/>
      <c r="Z15" s="6"/>
    </row>
    <row r="16" spans="1:26" ht="21.75" customHeight="1">
      <c r="A16" s="476"/>
      <c r="B16" s="472"/>
      <c r="C16" s="34"/>
      <c r="D16" s="19"/>
      <c r="E16" s="11"/>
      <c r="F16" s="260">
        <f t="shared" si="0"/>
        <v>0</v>
      </c>
      <c r="G16" s="43"/>
      <c r="H16" s="18"/>
      <c r="I16" s="179">
        <f t="shared" si="1"/>
        <v>0</v>
      </c>
      <c r="J16" s="254"/>
      <c r="K16" s="254"/>
      <c r="L16" s="254"/>
      <c r="M16" s="254"/>
      <c r="N16" s="254"/>
      <c r="O16" s="6"/>
      <c r="P16" s="6"/>
      <c r="Q16" s="6"/>
      <c r="R16" s="6"/>
      <c r="S16" s="6"/>
      <c r="T16" s="6"/>
      <c r="U16" s="6"/>
      <c r="V16" s="6"/>
      <c r="W16" s="6"/>
      <c r="X16" s="6"/>
      <c r="Y16" s="6"/>
      <c r="Z16" s="6"/>
    </row>
    <row r="17" spans="1:26" ht="21.75" customHeight="1">
      <c r="A17" s="476"/>
      <c r="B17" s="472"/>
      <c r="C17" s="34"/>
      <c r="D17" s="19"/>
      <c r="E17" s="11"/>
      <c r="F17" s="260">
        <f t="shared" si="0"/>
        <v>0</v>
      </c>
      <c r="G17" s="43"/>
      <c r="H17" s="18"/>
      <c r="I17" s="179">
        <f t="shared" si="1"/>
        <v>0</v>
      </c>
      <c r="J17" s="254"/>
      <c r="K17" s="254"/>
      <c r="L17" s="254"/>
      <c r="M17" s="254"/>
      <c r="N17" s="254"/>
      <c r="O17" s="6"/>
      <c r="P17" s="6"/>
      <c r="Q17" s="6"/>
      <c r="R17" s="6"/>
      <c r="S17" s="6"/>
      <c r="T17" s="6"/>
      <c r="U17" s="6"/>
      <c r="V17" s="6"/>
      <c r="W17" s="6"/>
      <c r="X17" s="6"/>
      <c r="Y17" s="6"/>
      <c r="Z17" s="6"/>
    </row>
    <row r="18" spans="1:26" ht="21.75" customHeight="1">
      <c r="A18" s="476"/>
      <c r="B18" s="472"/>
      <c r="C18" s="34"/>
      <c r="D18" s="19"/>
      <c r="E18" s="11"/>
      <c r="F18" s="263">
        <f t="shared" si="0"/>
        <v>0</v>
      </c>
      <c r="G18" s="34"/>
      <c r="H18" s="16"/>
      <c r="I18" s="182">
        <f t="shared" si="1"/>
        <v>0</v>
      </c>
      <c r="J18" s="254"/>
      <c r="K18" s="254"/>
      <c r="L18" s="254"/>
      <c r="M18" s="254"/>
      <c r="N18" s="254"/>
      <c r="O18" s="6"/>
      <c r="P18" s="6"/>
      <c r="Q18" s="6"/>
      <c r="R18" s="6"/>
      <c r="S18" s="6"/>
      <c r="T18" s="6"/>
      <c r="U18" s="6"/>
      <c r="V18" s="6"/>
      <c r="W18" s="6"/>
      <c r="X18" s="6"/>
      <c r="Y18" s="6"/>
      <c r="Z18" s="6"/>
    </row>
    <row r="19" spans="1:26" ht="15.75" customHeight="1" thickBot="1">
      <c r="A19" s="46"/>
      <c r="B19" s="47"/>
      <c r="C19" s="467" t="s">
        <v>122</v>
      </c>
      <c r="D19" s="468"/>
      <c r="E19" s="468"/>
      <c r="F19" s="25">
        <f>SUM(F6:F18)</f>
        <v>0</v>
      </c>
      <c r="G19" s="467" t="s">
        <v>123</v>
      </c>
      <c r="H19" s="468"/>
      <c r="I19" s="25">
        <f>SUM(I6:I18)</f>
        <v>0</v>
      </c>
      <c r="J19" s="255"/>
      <c r="K19" s="255"/>
      <c r="L19" s="255"/>
      <c r="M19" s="255"/>
      <c r="N19" s="255"/>
      <c r="O19" s="7"/>
      <c r="P19" s="7"/>
      <c r="Q19" s="7"/>
      <c r="R19" s="7"/>
      <c r="S19" s="7"/>
      <c r="T19" s="7"/>
      <c r="U19" s="7"/>
      <c r="V19" s="7"/>
      <c r="W19" s="7"/>
      <c r="X19" s="7"/>
      <c r="Y19" s="7"/>
      <c r="Z19" s="7"/>
    </row>
    <row r="20" spans="1:26" ht="20.149999999999999" customHeight="1" thickBot="1">
      <c r="A20" s="469" t="s">
        <v>125</v>
      </c>
      <c r="B20" s="470"/>
      <c r="C20" s="470"/>
      <c r="D20" s="470"/>
      <c r="E20" s="470"/>
      <c r="F20" s="470"/>
      <c r="G20" s="470"/>
      <c r="H20" s="470"/>
      <c r="I20" s="26">
        <f>SUM(I19,F19)</f>
        <v>0</v>
      </c>
      <c r="J20" s="255"/>
      <c r="K20" s="255"/>
      <c r="L20" s="255"/>
      <c r="M20" s="255"/>
      <c r="N20" s="255"/>
      <c r="O20" s="7"/>
      <c r="P20" s="7"/>
      <c r="Q20" s="7"/>
      <c r="R20" s="7"/>
      <c r="S20" s="7"/>
      <c r="T20" s="7"/>
      <c r="U20" s="7"/>
      <c r="V20" s="7"/>
      <c r="W20" s="7"/>
      <c r="X20" s="7"/>
      <c r="Y20" s="7"/>
      <c r="Z20" s="7"/>
    </row>
    <row r="21" spans="1:26" ht="36" customHeight="1" thickBot="1">
      <c r="A21" s="477" t="s">
        <v>156</v>
      </c>
      <c r="B21" s="478"/>
      <c r="C21" s="478"/>
      <c r="D21" s="478"/>
      <c r="E21" s="478"/>
      <c r="F21" s="478"/>
      <c r="G21" s="478"/>
      <c r="H21" s="478"/>
      <c r="I21" s="479"/>
      <c r="J21" s="255"/>
      <c r="K21" s="255"/>
      <c r="L21" s="255"/>
      <c r="M21" s="255"/>
      <c r="N21" s="255"/>
      <c r="O21" s="7"/>
      <c r="P21" s="7"/>
      <c r="Q21" s="7"/>
      <c r="R21" s="7"/>
      <c r="S21" s="7"/>
      <c r="T21" s="7"/>
      <c r="U21" s="7"/>
      <c r="V21" s="7"/>
      <c r="W21" s="7"/>
      <c r="X21" s="7"/>
      <c r="Y21" s="7"/>
      <c r="Z21" s="7"/>
    </row>
    <row r="22" spans="1:26" ht="15.5">
      <c r="A22" s="452" t="s">
        <v>93</v>
      </c>
      <c r="B22" s="453"/>
      <c r="C22" s="390" t="s">
        <v>91</v>
      </c>
      <c r="D22" s="382"/>
      <c r="E22" s="382"/>
      <c r="F22" s="383"/>
      <c r="G22" s="381" t="s">
        <v>92</v>
      </c>
      <c r="H22" s="382"/>
      <c r="I22" s="383"/>
      <c r="J22" s="256"/>
      <c r="K22" s="256"/>
      <c r="L22" s="256"/>
      <c r="M22" s="256"/>
      <c r="N22" s="256"/>
      <c r="O22" s="8"/>
      <c r="P22" s="8"/>
      <c r="Q22" s="8"/>
      <c r="R22" s="8"/>
      <c r="S22" s="8"/>
      <c r="T22" s="8"/>
      <c r="U22" s="8"/>
      <c r="V22" s="8"/>
      <c r="W22" s="8"/>
      <c r="X22" s="8"/>
      <c r="Y22" s="8"/>
      <c r="Z22" s="8"/>
    </row>
    <row r="23" spans="1:26" ht="15.75" customHeight="1" thickBot="1">
      <c r="A23" s="454"/>
      <c r="B23" s="455"/>
      <c r="C23" s="37" t="s">
        <v>129</v>
      </c>
      <c r="D23" s="27" t="s">
        <v>95</v>
      </c>
      <c r="E23" s="28" t="s">
        <v>61</v>
      </c>
      <c r="F23" s="38" t="s">
        <v>79</v>
      </c>
      <c r="G23" s="44" t="s">
        <v>96</v>
      </c>
      <c r="H23" s="30" t="s">
        <v>85</v>
      </c>
      <c r="I23" s="31" t="s">
        <v>79</v>
      </c>
      <c r="J23" s="256"/>
      <c r="K23" s="256"/>
      <c r="L23" s="256"/>
      <c r="M23" s="256"/>
      <c r="N23" s="256"/>
      <c r="O23" s="8"/>
      <c r="P23" s="8"/>
      <c r="Q23" s="8"/>
      <c r="R23" s="8"/>
      <c r="S23" s="8"/>
      <c r="T23" s="8"/>
      <c r="U23" s="8"/>
      <c r="V23" s="8"/>
      <c r="W23" s="8"/>
      <c r="X23" s="8"/>
      <c r="Y23" s="8"/>
      <c r="Z23" s="8"/>
    </row>
    <row r="24" spans="1:26" ht="21.75" customHeight="1">
      <c r="A24" s="471"/>
      <c r="B24" s="472"/>
      <c r="C24" s="39">
        <v>1</v>
      </c>
      <c r="D24" s="20"/>
      <c r="E24" s="12">
        <v>0</v>
      </c>
      <c r="F24" s="40">
        <f t="shared" ref="F24:F36" si="2">C24*E24</f>
        <v>0</v>
      </c>
      <c r="G24" s="39">
        <v>1</v>
      </c>
      <c r="H24" s="12">
        <v>0</v>
      </c>
      <c r="I24" s="264">
        <f>G24*H24</f>
        <v>0</v>
      </c>
      <c r="J24" s="252"/>
      <c r="K24" s="252"/>
      <c r="L24" s="252"/>
      <c r="M24" s="252"/>
      <c r="N24" s="252"/>
    </row>
    <row r="25" spans="1:26" ht="21.75" customHeight="1">
      <c r="A25" s="471"/>
      <c r="B25" s="472"/>
      <c r="C25" s="39"/>
      <c r="D25" s="20"/>
      <c r="E25" s="12"/>
      <c r="F25" s="40">
        <f t="shared" si="2"/>
        <v>0</v>
      </c>
      <c r="G25" s="39"/>
      <c r="H25" s="12"/>
      <c r="I25" s="206">
        <f t="shared" ref="I25:I36" si="3">G25*H25</f>
        <v>0</v>
      </c>
      <c r="J25" s="252"/>
      <c r="K25" s="252"/>
      <c r="L25" s="252"/>
      <c r="M25" s="252"/>
      <c r="N25" s="252"/>
    </row>
    <row r="26" spans="1:26" ht="21.75" customHeight="1">
      <c r="A26" s="471"/>
      <c r="B26" s="472"/>
      <c r="C26" s="39"/>
      <c r="D26" s="20"/>
      <c r="E26" s="12"/>
      <c r="F26" s="40">
        <f t="shared" si="2"/>
        <v>0</v>
      </c>
      <c r="G26" s="39"/>
      <c r="H26" s="12"/>
      <c r="I26" s="206">
        <f t="shared" si="3"/>
        <v>0</v>
      </c>
      <c r="J26" s="252"/>
      <c r="K26" s="252"/>
      <c r="L26" s="252"/>
      <c r="M26" s="252"/>
      <c r="N26" s="252"/>
    </row>
    <row r="27" spans="1:26" ht="21.75" customHeight="1">
      <c r="A27" s="471"/>
      <c r="B27" s="472"/>
      <c r="C27" s="39"/>
      <c r="D27" s="20"/>
      <c r="E27" s="12"/>
      <c r="F27" s="40">
        <f t="shared" si="2"/>
        <v>0</v>
      </c>
      <c r="G27" s="39"/>
      <c r="H27" s="12"/>
      <c r="I27" s="206">
        <f t="shared" si="3"/>
        <v>0</v>
      </c>
      <c r="J27" s="252"/>
      <c r="K27" s="252"/>
      <c r="L27" s="252"/>
      <c r="M27" s="252"/>
      <c r="N27" s="252"/>
    </row>
    <row r="28" spans="1:26" ht="21.75" customHeight="1">
      <c r="A28" s="471"/>
      <c r="B28" s="472"/>
      <c r="C28" s="39"/>
      <c r="D28" s="20"/>
      <c r="E28" s="12"/>
      <c r="F28" s="40">
        <f t="shared" si="2"/>
        <v>0</v>
      </c>
      <c r="G28" s="39"/>
      <c r="H28" s="12"/>
      <c r="I28" s="206">
        <f t="shared" si="3"/>
        <v>0</v>
      </c>
      <c r="J28" s="252"/>
      <c r="K28" s="252"/>
      <c r="L28" s="252"/>
      <c r="M28" s="252"/>
      <c r="N28" s="252"/>
    </row>
    <row r="29" spans="1:26" ht="21.75" customHeight="1">
      <c r="A29" s="471"/>
      <c r="B29" s="472"/>
      <c r="C29" s="39"/>
      <c r="D29" s="20"/>
      <c r="E29" s="12"/>
      <c r="F29" s="40">
        <f t="shared" si="2"/>
        <v>0</v>
      </c>
      <c r="G29" s="39"/>
      <c r="H29" s="12"/>
      <c r="I29" s="206">
        <f t="shared" si="3"/>
        <v>0</v>
      </c>
      <c r="J29" s="252"/>
      <c r="K29" s="252"/>
      <c r="L29" s="252"/>
      <c r="M29" s="252"/>
      <c r="N29" s="252"/>
    </row>
    <row r="30" spans="1:26" ht="21.75" customHeight="1">
      <c r="A30" s="471"/>
      <c r="B30" s="472"/>
      <c r="C30" s="39"/>
      <c r="D30" s="20"/>
      <c r="E30" s="12"/>
      <c r="F30" s="40">
        <f t="shared" si="2"/>
        <v>0</v>
      </c>
      <c r="G30" s="39"/>
      <c r="H30" s="12"/>
      <c r="I30" s="206">
        <f t="shared" si="3"/>
        <v>0</v>
      </c>
      <c r="J30" s="252"/>
      <c r="K30" s="252"/>
      <c r="L30" s="252"/>
      <c r="M30" s="252"/>
      <c r="N30" s="252"/>
    </row>
    <row r="31" spans="1:26" ht="21.75" customHeight="1">
      <c r="A31" s="471"/>
      <c r="B31" s="472"/>
      <c r="C31" s="39"/>
      <c r="D31" s="20"/>
      <c r="E31" s="12"/>
      <c r="F31" s="40">
        <f t="shared" si="2"/>
        <v>0</v>
      </c>
      <c r="G31" s="39"/>
      <c r="H31" s="12"/>
      <c r="I31" s="206">
        <f t="shared" si="3"/>
        <v>0</v>
      </c>
      <c r="J31" s="252"/>
      <c r="K31" s="252"/>
      <c r="L31" s="252"/>
      <c r="M31" s="252"/>
      <c r="N31" s="252"/>
    </row>
    <row r="32" spans="1:26" ht="21.75" customHeight="1">
      <c r="A32" s="471"/>
      <c r="B32" s="472"/>
      <c r="C32" s="39"/>
      <c r="D32" s="20"/>
      <c r="E32" s="12"/>
      <c r="F32" s="40">
        <f t="shared" si="2"/>
        <v>0</v>
      </c>
      <c r="G32" s="39"/>
      <c r="H32" s="12"/>
      <c r="I32" s="206">
        <f t="shared" si="3"/>
        <v>0</v>
      </c>
      <c r="J32" s="252"/>
      <c r="K32" s="252"/>
      <c r="L32" s="252"/>
      <c r="M32" s="252"/>
      <c r="N32" s="252"/>
    </row>
    <row r="33" spans="1:14" ht="21.75" customHeight="1">
      <c r="A33" s="471"/>
      <c r="B33" s="472"/>
      <c r="C33" s="39"/>
      <c r="D33" s="20"/>
      <c r="E33" s="12"/>
      <c r="F33" s="40">
        <f t="shared" si="2"/>
        <v>0</v>
      </c>
      <c r="G33" s="39"/>
      <c r="H33" s="12"/>
      <c r="I33" s="206">
        <f t="shared" si="3"/>
        <v>0</v>
      </c>
      <c r="J33" s="252"/>
      <c r="K33" s="252"/>
      <c r="L33" s="252"/>
      <c r="M33" s="252"/>
      <c r="N33" s="252"/>
    </row>
    <row r="34" spans="1:14" ht="21.75" customHeight="1">
      <c r="A34" s="471"/>
      <c r="B34" s="472"/>
      <c r="C34" s="39"/>
      <c r="D34" s="20"/>
      <c r="E34" s="12"/>
      <c r="F34" s="40">
        <f t="shared" si="2"/>
        <v>0</v>
      </c>
      <c r="G34" s="39"/>
      <c r="H34" s="12"/>
      <c r="I34" s="206">
        <f t="shared" si="3"/>
        <v>0</v>
      </c>
      <c r="J34" s="252"/>
      <c r="K34" s="252"/>
      <c r="L34" s="252"/>
      <c r="M34" s="252"/>
      <c r="N34" s="252"/>
    </row>
    <row r="35" spans="1:14" ht="21.75" customHeight="1">
      <c r="A35" s="471"/>
      <c r="B35" s="472"/>
      <c r="C35" s="39"/>
      <c r="D35" s="20"/>
      <c r="E35" s="12"/>
      <c r="F35" s="40">
        <f t="shared" si="2"/>
        <v>0</v>
      </c>
      <c r="G35" s="39"/>
      <c r="H35" s="12"/>
      <c r="I35" s="206">
        <f t="shared" si="3"/>
        <v>0</v>
      </c>
      <c r="J35" s="252"/>
      <c r="K35" s="252"/>
      <c r="L35" s="252"/>
      <c r="M35" s="252"/>
      <c r="N35" s="252"/>
    </row>
    <row r="36" spans="1:14" ht="21.75" customHeight="1">
      <c r="A36" s="471"/>
      <c r="B36" s="472"/>
      <c r="C36" s="41"/>
      <c r="D36" s="21"/>
      <c r="E36" s="13"/>
      <c r="F36" s="42">
        <f t="shared" si="2"/>
        <v>0</v>
      </c>
      <c r="G36" s="41"/>
      <c r="H36" s="13"/>
      <c r="I36" s="265">
        <f t="shared" si="3"/>
        <v>0</v>
      </c>
      <c r="J36" s="252"/>
      <c r="K36" s="252"/>
      <c r="L36" s="252"/>
      <c r="M36" s="252"/>
      <c r="N36" s="252"/>
    </row>
    <row r="37" spans="1:14" ht="15.75" customHeight="1" thickBot="1">
      <c r="A37" s="46"/>
      <c r="B37" s="47"/>
      <c r="C37" s="473" t="s">
        <v>122</v>
      </c>
      <c r="D37" s="474"/>
      <c r="E37" s="475"/>
      <c r="F37" s="266">
        <f>SUM(F24:F36)</f>
        <v>0</v>
      </c>
      <c r="G37" s="473" t="s">
        <v>123</v>
      </c>
      <c r="H37" s="475"/>
      <c r="I37" s="266">
        <f>SUM(I24:I36)</f>
        <v>0</v>
      </c>
      <c r="J37" s="252"/>
      <c r="K37" s="252"/>
      <c r="L37" s="252"/>
      <c r="M37" s="252"/>
      <c r="N37" s="252"/>
    </row>
    <row r="38" spans="1:14" ht="20.149999999999999" customHeight="1" thickBot="1">
      <c r="A38" s="469" t="s">
        <v>124</v>
      </c>
      <c r="B38" s="470"/>
      <c r="C38" s="470"/>
      <c r="D38" s="470"/>
      <c r="E38" s="470"/>
      <c r="F38" s="470"/>
      <c r="G38" s="470"/>
      <c r="H38" s="470"/>
      <c r="I38" s="267">
        <f>SUM(I37,F37)</f>
        <v>0</v>
      </c>
      <c r="J38" s="252"/>
      <c r="K38" s="252"/>
      <c r="L38" s="252"/>
      <c r="M38" s="252"/>
      <c r="N38" s="252"/>
    </row>
    <row r="39" spans="1:14" ht="15.75" customHeight="1">
      <c r="A39" s="252"/>
      <c r="B39" s="252"/>
      <c r="C39" s="252"/>
      <c r="D39" s="252"/>
      <c r="E39" s="257"/>
      <c r="F39" s="252"/>
      <c r="G39" s="252"/>
      <c r="H39" s="252"/>
      <c r="I39" s="252"/>
      <c r="J39" s="252"/>
      <c r="K39" s="252"/>
      <c r="L39" s="252"/>
      <c r="M39" s="252"/>
      <c r="N39" s="252"/>
    </row>
    <row r="40" spans="1:14" ht="15.75" customHeight="1">
      <c r="A40" s="252"/>
      <c r="B40" s="252"/>
      <c r="C40" s="252"/>
      <c r="D40" s="252"/>
      <c r="E40" s="257"/>
      <c r="F40" s="252"/>
      <c r="G40" s="252"/>
      <c r="H40" s="252"/>
      <c r="I40" s="252"/>
      <c r="J40" s="252"/>
      <c r="K40" s="252"/>
      <c r="L40" s="252"/>
      <c r="M40" s="252"/>
      <c r="N40" s="252"/>
    </row>
    <row r="41" spans="1:14" ht="15.75" customHeight="1">
      <c r="A41" s="252"/>
      <c r="B41" s="252"/>
      <c r="C41" s="252"/>
      <c r="D41" s="252"/>
      <c r="E41" s="257"/>
      <c r="F41" s="252"/>
      <c r="G41" s="252"/>
      <c r="H41" s="252"/>
      <c r="I41" s="252"/>
      <c r="J41" s="252"/>
      <c r="K41" s="252"/>
      <c r="L41" s="252"/>
      <c r="M41" s="252"/>
      <c r="N41" s="252"/>
    </row>
    <row r="42" spans="1:14" ht="15.75" customHeight="1">
      <c r="A42" s="252"/>
      <c r="B42" s="252"/>
      <c r="C42" s="252"/>
      <c r="D42" s="252"/>
      <c r="E42" s="257"/>
      <c r="F42" s="252"/>
      <c r="G42" s="252"/>
      <c r="H42" s="252"/>
      <c r="I42" s="252"/>
      <c r="J42" s="252"/>
      <c r="K42" s="252"/>
      <c r="L42" s="252"/>
      <c r="M42" s="252"/>
      <c r="N42" s="252"/>
    </row>
    <row r="43" spans="1:14" ht="15.75" customHeight="1">
      <c r="A43" s="252"/>
      <c r="B43" s="252"/>
      <c r="C43" s="252"/>
      <c r="D43" s="252"/>
      <c r="E43" s="257"/>
      <c r="F43" s="252"/>
      <c r="G43" s="252"/>
      <c r="H43" s="252"/>
      <c r="I43" s="252"/>
      <c r="J43" s="252"/>
      <c r="K43" s="252"/>
      <c r="L43" s="252"/>
      <c r="M43" s="252"/>
      <c r="N43" s="252"/>
    </row>
    <row r="44" spans="1:14" ht="15.75" customHeight="1">
      <c r="A44" s="252"/>
      <c r="B44" s="252"/>
      <c r="C44" s="252"/>
      <c r="D44" s="252"/>
      <c r="E44" s="257"/>
      <c r="F44" s="252"/>
      <c r="G44" s="252"/>
      <c r="H44" s="252"/>
      <c r="I44" s="252"/>
      <c r="J44" s="252"/>
      <c r="K44" s="252"/>
      <c r="L44" s="252"/>
      <c r="M44" s="252"/>
      <c r="N44" s="252"/>
    </row>
    <row r="45" spans="1:14" ht="15.75" customHeight="1">
      <c r="A45" s="252"/>
      <c r="B45" s="252"/>
      <c r="C45" s="252"/>
      <c r="D45" s="252"/>
      <c r="E45" s="257"/>
      <c r="F45" s="252"/>
      <c r="G45" s="252"/>
      <c r="H45" s="252"/>
      <c r="I45" s="252"/>
      <c r="J45" s="252"/>
      <c r="K45" s="252"/>
      <c r="L45" s="252"/>
      <c r="M45" s="252"/>
      <c r="N45" s="252"/>
    </row>
    <row r="46" spans="1:14" ht="15.75" customHeight="1">
      <c r="A46" s="252"/>
      <c r="B46" s="252"/>
      <c r="C46" s="252"/>
      <c r="D46" s="252"/>
      <c r="E46" s="257"/>
      <c r="F46" s="252"/>
      <c r="G46" s="252"/>
      <c r="H46" s="252"/>
      <c r="I46" s="252"/>
      <c r="J46" s="252"/>
      <c r="K46" s="252"/>
      <c r="L46" s="252"/>
      <c r="M46" s="252"/>
      <c r="N46" s="252"/>
    </row>
    <row r="47" spans="1:14" ht="15.75" customHeight="1">
      <c r="E47" s="9"/>
    </row>
    <row r="48" spans="1:14" ht="15.75" customHeight="1">
      <c r="E48" s="9"/>
    </row>
    <row r="49" spans="5:5" ht="15.75" customHeight="1">
      <c r="E49" s="9"/>
    </row>
    <row r="50" spans="5:5" ht="15.75" customHeight="1">
      <c r="E50" s="9"/>
    </row>
    <row r="51" spans="5:5" ht="15.75" customHeight="1">
      <c r="E51" s="9"/>
    </row>
    <row r="52" spans="5:5" ht="15.75" customHeight="1">
      <c r="E52" s="9"/>
    </row>
    <row r="53" spans="5:5" ht="15.75" customHeight="1">
      <c r="E53" s="9"/>
    </row>
    <row r="54" spans="5:5" ht="15.75" customHeight="1">
      <c r="E54" s="9"/>
    </row>
    <row r="55" spans="5:5" ht="15.75" customHeight="1">
      <c r="E55" s="9"/>
    </row>
    <row r="56" spans="5:5" ht="15.75" customHeight="1">
      <c r="E56" s="9"/>
    </row>
    <row r="57" spans="5:5" ht="15.75" customHeight="1">
      <c r="E57" s="9"/>
    </row>
    <row r="58" spans="5:5" ht="15.75" customHeight="1">
      <c r="E58" s="9"/>
    </row>
    <row r="59" spans="5:5" ht="15.75" customHeight="1">
      <c r="E59" s="9"/>
    </row>
    <row r="60" spans="5:5" ht="15.75" customHeight="1">
      <c r="E60" s="9"/>
    </row>
    <row r="61" spans="5:5" ht="15.75" customHeight="1">
      <c r="E61" s="9"/>
    </row>
    <row r="62" spans="5:5" ht="15.75" customHeight="1">
      <c r="E62" s="9"/>
    </row>
    <row r="63" spans="5:5" ht="15.75" customHeight="1">
      <c r="E63" s="9"/>
    </row>
    <row r="64" spans="5: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36:B36"/>
    <mergeCell ref="C37:E37"/>
    <mergeCell ref="G37:H37"/>
    <mergeCell ref="A38:H38"/>
    <mergeCell ref="A30:B30"/>
    <mergeCell ref="A31:B31"/>
    <mergeCell ref="A32:B32"/>
    <mergeCell ref="A33:B33"/>
    <mergeCell ref="A34:B34"/>
    <mergeCell ref="A35:B35"/>
    <mergeCell ref="A29:B29"/>
    <mergeCell ref="A18:B18"/>
    <mergeCell ref="C19:E19"/>
    <mergeCell ref="G19:H19"/>
    <mergeCell ref="A20:H20"/>
    <mergeCell ref="A21:I21"/>
    <mergeCell ref="A22:B23"/>
    <mergeCell ref="C22:F22"/>
    <mergeCell ref="G22:I22"/>
    <mergeCell ref="A24:B24"/>
    <mergeCell ref="A25:B25"/>
    <mergeCell ref="A26:B26"/>
    <mergeCell ref="A27:B27"/>
    <mergeCell ref="A28:B28"/>
    <mergeCell ref="A17:B17"/>
    <mergeCell ref="A6:B6"/>
    <mergeCell ref="A7:B7"/>
    <mergeCell ref="A8:B8"/>
    <mergeCell ref="A9:B9"/>
    <mergeCell ref="A10:B10"/>
    <mergeCell ref="A11:B11"/>
    <mergeCell ref="A12:B12"/>
    <mergeCell ref="A13:B13"/>
    <mergeCell ref="A14:B14"/>
    <mergeCell ref="A15:B15"/>
    <mergeCell ref="A16:B16"/>
    <mergeCell ref="A3:I3"/>
    <mergeCell ref="A4:B5"/>
    <mergeCell ref="C4:F4"/>
    <mergeCell ref="G4:I4"/>
    <mergeCell ref="A1:F2"/>
  </mergeCells>
  <conditionalFormatting sqref="G2:H2">
    <cfRule type="expression" dxfId="21" priority="1" stopIfTrue="1">
      <formula>"MM/DD/YY"</formula>
    </cfRule>
  </conditionalFormatting>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8193" r:id="rId4" name="CommandButton1">
          <controlPr defaultSize="0" autoLine="0" altText="Add A Row Command Button" r:id="rId5">
            <anchor moveWithCells="1">
              <from>
                <xdr:col>9</xdr:col>
                <xdr:colOff>260350</xdr:colOff>
                <xdr:row>17</xdr:row>
                <xdr:rowOff>0</xdr:rowOff>
              </from>
              <to>
                <xdr:col>11</xdr:col>
                <xdr:colOff>387350</xdr:colOff>
                <xdr:row>18</xdr:row>
                <xdr:rowOff>12700</xdr:rowOff>
              </to>
            </anchor>
          </controlPr>
        </control>
      </mc:Choice>
      <mc:Fallback>
        <control shapeId="8193" r:id="rId4" name="CommandButton1"/>
      </mc:Fallback>
    </mc:AlternateContent>
  </control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BEE67-6C84-42D4-B19F-0B8FC7664551}">
  <sheetPr codeName="Sheet5">
    <pageSetUpPr fitToPage="1"/>
  </sheetPr>
  <dimension ref="A1:Z1003"/>
  <sheetViews>
    <sheetView topLeftCell="C6" zoomScaleNormal="10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157</v>
      </c>
      <c r="B1" s="387"/>
      <c r="C1" s="387"/>
      <c r="D1" s="387"/>
      <c r="E1" s="387"/>
      <c r="F1" s="387"/>
      <c r="G1" s="258" t="s">
        <v>165</v>
      </c>
      <c r="H1" s="259"/>
      <c r="I1" s="162" t="s">
        <v>166</v>
      </c>
      <c r="J1" s="252"/>
      <c r="K1" s="252"/>
      <c r="L1" s="252"/>
      <c r="M1" s="252"/>
      <c r="N1" s="252"/>
    </row>
    <row r="2" spans="1:26" ht="15" customHeight="1" thickBot="1">
      <c r="A2" s="388"/>
      <c r="B2" s="389"/>
      <c r="C2" s="389"/>
      <c r="D2" s="389"/>
      <c r="E2" s="389"/>
      <c r="F2" s="389"/>
      <c r="G2" s="163" t="str">
        <f>IF(INPUT!C3=0,"",INPUT!C3)</f>
        <v>RLP # 36C248-25-R-0110 – EXHIBIT K</v>
      </c>
      <c r="H2" s="163"/>
      <c r="I2" s="164" t="str">
        <f>IF(INPUT!C10=0,"",INPUT!C10)</f>
        <v/>
      </c>
      <c r="J2" s="252"/>
      <c r="K2" s="252"/>
      <c r="L2" s="252"/>
      <c r="M2" s="252"/>
      <c r="N2" s="252"/>
    </row>
    <row r="3" spans="1:26" s="10" customFormat="1" ht="36" customHeight="1" thickBot="1">
      <c r="A3" s="480" t="s">
        <v>159</v>
      </c>
      <c r="B3" s="402"/>
      <c r="C3" s="402"/>
      <c r="D3" s="402"/>
      <c r="E3" s="402"/>
      <c r="F3" s="402"/>
      <c r="G3" s="402"/>
      <c r="H3" s="402"/>
      <c r="I3" s="403"/>
      <c r="J3" s="253"/>
      <c r="K3" s="253"/>
      <c r="L3" s="253"/>
      <c r="M3" s="253"/>
      <c r="N3" s="253"/>
    </row>
    <row r="4" spans="1:26" ht="15.5">
      <c r="A4" s="452" t="s">
        <v>93</v>
      </c>
      <c r="B4" s="453"/>
      <c r="C4" s="390" t="s">
        <v>91</v>
      </c>
      <c r="D4" s="382"/>
      <c r="E4" s="382"/>
      <c r="F4" s="383"/>
      <c r="G4" s="381" t="s">
        <v>92</v>
      </c>
      <c r="H4" s="382"/>
      <c r="I4" s="383"/>
      <c r="J4" s="252"/>
      <c r="K4" s="252"/>
      <c r="L4" s="252"/>
      <c r="M4" s="252"/>
      <c r="N4" s="252"/>
    </row>
    <row r="5" spans="1:26" ht="15.75" customHeight="1" thickBot="1">
      <c r="A5" s="454"/>
      <c r="B5" s="455"/>
      <c r="C5" s="37" t="s">
        <v>129</v>
      </c>
      <c r="D5" s="27" t="s">
        <v>95</v>
      </c>
      <c r="E5" s="28" t="s">
        <v>61</v>
      </c>
      <c r="F5" s="38" t="s">
        <v>79</v>
      </c>
      <c r="G5" s="44" t="s">
        <v>96</v>
      </c>
      <c r="H5" s="30" t="s">
        <v>85</v>
      </c>
      <c r="I5" s="31" t="s">
        <v>79</v>
      </c>
      <c r="J5" s="252"/>
      <c r="K5" s="252"/>
      <c r="L5" s="252"/>
      <c r="M5" s="252"/>
      <c r="N5" s="252"/>
    </row>
    <row r="6" spans="1:26" ht="21.75" customHeight="1">
      <c r="A6" s="476" t="s">
        <v>149</v>
      </c>
      <c r="B6" s="472"/>
      <c r="C6" s="34">
        <v>1</v>
      </c>
      <c r="D6" s="19" t="s">
        <v>148</v>
      </c>
      <c r="E6" s="11">
        <v>0</v>
      </c>
      <c r="F6" s="260">
        <f t="shared" ref="F6:F18" si="0">C6*E6</f>
        <v>0</v>
      </c>
      <c r="G6" s="34">
        <v>1</v>
      </c>
      <c r="H6" s="17">
        <v>0</v>
      </c>
      <c r="I6" s="261">
        <f t="shared" ref="I6:I18" si="1">G6*H6</f>
        <v>0</v>
      </c>
      <c r="J6" s="254"/>
      <c r="K6" s="254"/>
      <c r="L6" s="254"/>
      <c r="M6" s="254"/>
      <c r="N6" s="254"/>
      <c r="O6" s="6"/>
      <c r="P6" s="6"/>
      <c r="Q6" s="6"/>
      <c r="R6" s="6"/>
      <c r="S6" s="6"/>
      <c r="T6" s="6"/>
      <c r="U6" s="6"/>
      <c r="V6" s="6"/>
      <c r="W6" s="6"/>
      <c r="X6" s="6"/>
      <c r="Y6" s="6"/>
      <c r="Z6" s="6"/>
    </row>
    <row r="7" spans="1:26" ht="21.75" customHeight="1">
      <c r="A7" s="476"/>
      <c r="B7" s="472"/>
      <c r="C7" s="34"/>
      <c r="D7" s="19"/>
      <c r="E7" s="11"/>
      <c r="F7" s="260">
        <f>C7*E7</f>
        <v>0</v>
      </c>
      <c r="G7" s="43"/>
      <c r="H7" s="18"/>
      <c r="I7" s="179">
        <f t="shared" si="1"/>
        <v>0</v>
      </c>
      <c r="J7" s="254"/>
      <c r="K7" s="254"/>
      <c r="L7" s="254"/>
      <c r="M7" s="254"/>
      <c r="N7" s="254"/>
      <c r="O7" s="6"/>
      <c r="P7" s="6"/>
      <c r="Q7" s="6"/>
      <c r="R7" s="6"/>
      <c r="S7" s="6"/>
      <c r="T7" s="6"/>
      <c r="U7" s="6"/>
      <c r="V7" s="6"/>
      <c r="W7" s="6"/>
      <c r="X7" s="6"/>
      <c r="Y7" s="6"/>
      <c r="Z7" s="6"/>
    </row>
    <row r="8" spans="1:26" ht="21.75" customHeight="1">
      <c r="A8" s="476"/>
      <c r="B8" s="472"/>
      <c r="C8" s="34"/>
      <c r="D8" s="19"/>
      <c r="E8" s="11"/>
      <c r="F8" s="262">
        <f t="shared" si="0"/>
        <v>0</v>
      </c>
      <c r="G8" s="43"/>
      <c r="H8" s="18"/>
      <c r="I8" s="179">
        <f t="shared" si="1"/>
        <v>0</v>
      </c>
      <c r="J8" s="254"/>
      <c r="K8" s="254"/>
      <c r="L8" s="254"/>
      <c r="M8" s="254"/>
      <c r="N8" s="254"/>
      <c r="O8" s="6"/>
      <c r="P8" s="6"/>
      <c r="Q8" s="6"/>
      <c r="R8" s="6"/>
      <c r="S8" s="6"/>
      <c r="T8" s="6"/>
      <c r="U8" s="6"/>
      <c r="V8" s="6"/>
      <c r="W8" s="6"/>
      <c r="X8" s="6"/>
      <c r="Y8" s="6"/>
      <c r="Z8" s="6"/>
    </row>
    <row r="9" spans="1:26" ht="21.75" customHeight="1">
      <c r="A9" s="476"/>
      <c r="B9" s="472"/>
      <c r="C9" s="34"/>
      <c r="D9" s="19"/>
      <c r="E9" s="11"/>
      <c r="F9" s="262">
        <f t="shared" si="0"/>
        <v>0</v>
      </c>
      <c r="G9" s="43"/>
      <c r="H9" s="18"/>
      <c r="I9" s="179">
        <f t="shared" si="1"/>
        <v>0</v>
      </c>
      <c r="J9" s="254"/>
      <c r="K9" s="254"/>
      <c r="L9" s="254"/>
      <c r="M9" s="254"/>
      <c r="N9" s="254"/>
      <c r="O9" s="6"/>
      <c r="P9" s="6"/>
      <c r="Q9" s="6"/>
      <c r="R9" s="6"/>
      <c r="S9" s="6"/>
      <c r="T9" s="6"/>
      <c r="U9" s="6"/>
      <c r="V9" s="6"/>
      <c r="W9" s="6"/>
      <c r="X9" s="6"/>
      <c r="Y9" s="6"/>
      <c r="Z9" s="6"/>
    </row>
    <row r="10" spans="1:26" ht="21.75" customHeight="1">
      <c r="A10" s="476"/>
      <c r="B10" s="472"/>
      <c r="C10" s="34"/>
      <c r="D10" s="19"/>
      <c r="E10" s="11"/>
      <c r="F10" s="260">
        <f t="shared" si="0"/>
        <v>0</v>
      </c>
      <c r="G10" s="43"/>
      <c r="H10" s="18"/>
      <c r="I10" s="179">
        <f t="shared" si="1"/>
        <v>0</v>
      </c>
      <c r="J10" s="254"/>
      <c r="K10" s="254"/>
      <c r="L10" s="254"/>
      <c r="M10" s="254"/>
      <c r="N10" s="254"/>
      <c r="O10" s="6"/>
      <c r="P10" s="6"/>
      <c r="Q10" s="6"/>
      <c r="R10" s="6"/>
      <c r="S10" s="6"/>
      <c r="T10" s="6"/>
      <c r="U10" s="6"/>
      <c r="V10" s="6"/>
      <c r="W10" s="6"/>
      <c r="X10" s="6"/>
      <c r="Y10" s="6"/>
      <c r="Z10" s="6"/>
    </row>
    <row r="11" spans="1:26" ht="21.75" customHeight="1">
      <c r="A11" s="476"/>
      <c r="B11" s="472"/>
      <c r="C11" s="34"/>
      <c r="D11" s="19"/>
      <c r="E11" s="11"/>
      <c r="F11" s="260">
        <f t="shared" si="0"/>
        <v>0</v>
      </c>
      <c r="G11" s="43"/>
      <c r="H11" s="18"/>
      <c r="I11" s="179">
        <f t="shared" si="1"/>
        <v>0</v>
      </c>
      <c r="J11" s="254"/>
      <c r="K11" s="254"/>
      <c r="L11" s="254"/>
      <c r="M11" s="254"/>
      <c r="N11" s="254"/>
      <c r="O11" s="6"/>
      <c r="P11" s="6"/>
      <c r="Q11" s="6"/>
      <c r="R11" s="6"/>
      <c r="S11" s="6"/>
      <c r="T11" s="6"/>
      <c r="U11" s="6"/>
      <c r="V11" s="6"/>
      <c r="W11" s="6"/>
      <c r="X11" s="6"/>
      <c r="Y11" s="6"/>
      <c r="Z11" s="6"/>
    </row>
    <row r="12" spans="1:26" ht="21.75" customHeight="1">
      <c r="A12" s="476"/>
      <c r="B12" s="472"/>
      <c r="C12" s="34"/>
      <c r="D12" s="19"/>
      <c r="E12" s="11"/>
      <c r="F12" s="260">
        <f t="shared" si="0"/>
        <v>0</v>
      </c>
      <c r="G12" s="43"/>
      <c r="H12" s="18"/>
      <c r="I12" s="179">
        <f t="shared" si="1"/>
        <v>0</v>
      </c>
      <c r="J12" s="254"/>
      <c r="K12" s="254"/>
      <c r="L12" s="254"/>
      <c r="M12" s="254"/>
      <c r="N12" s="254"/>
      <c r="O12" s="6"/>
      <c r="P12" s="6"/>
      <c r="Q12" s="6"/>
      <c r="R12" s="6"/>
      <c r="S12" s="6"/>
      <c r="T12" s="6"/>
      <c r="U12" s="6"/>
      <c r="V12" s="6"/>
      <c r="W12" s="6"/>
      <c r="X12" s="6"/>
      <c r="Y12" s="6"/>
      <c r="Z12" s="6"/>
    </row>
    <row r="13" spans="1:26" ht="21.75" customHeight="1">
      <c r="A13" s="476"/>
      <c r="B13" s="472"/>
      <c r="C13" s="34"/>
      <c r="D13" s="19"/>
      <c r="E13" s="11"/>
      <c r="F13" s="260">
        <f t="shared" si="0"/>
        <v>0</v>
      </c>
      <c r="G13" s="43"/>
      <c r="H13" s="18"/>
      <c r="I13" s="179">
        <f t="shared" si="1"/>
        <v>0</v>
      </c>
      <c r="J13" s="254"/>
      <c r="K13" s="254"/>
      <c r="L13" s="254"/>
      <c r="M13" s="254"/>
      <c r="N13" s="254"/>
      <c r="O13" s="6"/>
      <c r="P13" s="6"/>
      <c r="Q13" s="6"/>
      <c r="R13" s="6"/>
      <c r="S13" s="6"/>
      <c r="T13" s="6"/>
      <c r="U13" s="6"/>
      <c r="V13" s="6"/>
      <c r="W13" s="6"/>
      <c r="X13" s="6"/>
      <c r="Y13" s="6"/>
      <c r="Z13" s="6"/>
    </row>
    <row r="14" spans="1:26" ht="21.75" customHeight="1">
      <c r="A14" s="476"/>
      <c r="B14" s="472"/>
      <c r="C14" s="34"/>
      <c r="D14" s="19"/>
      <c r="E14" s="11"/>
      <c r="F14" s="260">
        <f t="shared" si="0"/>
        <v>0</v>
      </c>
      <c r="G14" s="43"/>
      <c r="H14" s="18"/>
      <c r="I14" s="179">
        <f t="shared" si="1"/>
        <v>0</v>
      </c>
      <c r="J14" s="254"/>
      <c r="K14" s="254"/>
      <c r="L14" s="254"/>
      <c r="M14" s="254"/>
      <c r="N14" s="254"/>
      <c r="O14" s="6"/>
      <c r="P14" s="6"/>
      <c r="Q14" s="6"/>
      <c r="R14" s="6"/>
      <c r="S14" s="6"/>
      <c r="T14" s="6"/>
      <c r="U14" s="6"/>
      <c r="V14" s="6"/>
      <c r="W14" s="6"/>
      <c r="X14" s="6"/>
      <c r="Y14" s="6"/>
      <c r="Z14" s="6"/>
    </row>
    <row r="15" spans="1:26" ht="21.75" customHeight="1">
      <c r="A15" s="476"/>
      <c r="B15" s="472"/>
      <c r="C15" s="34"/>
      <c r="D15" s="19"/>
      <c r="E15" s="11"/>
      <c r="F15" s="260">
        <f t="shared" si="0"/>
        <v>0</v>
      </c>
      <c r="G15" s="43"/>
      <c r="H15" s="18"/>
      <c r="I15" s="179">
        <f t="shared" si="1"/>
        <v>0</v>
      </c>
      <c r="J15" s="254"/>
      <c r="K15" s="254"/>
      <c r="L15" s="254"/>
      <c r="M15" s="254"/>
      <c r="N15" s="254"/>
      <c r="O15" s="6"/>
      <c r="P15" s="6"/>
      <c r="Q15" s="6"/>
      <c r="R15" s="6"/>
      <c r="S15" s="6"/>
      <c r="T15" s="6"/>
      <c r="U15" s="6"/>
      <c r="V15" s="6"/>
      <c r="W15" s="6"/>
      <c r="X15" s="6"/>
      <c r="Y15" s="6"/>
      <c r="Z15" s="6"/>
    </row>
    <row r="16" spans="1:26" ht="21.75" customHeight="1">
      <c r="A16" s="476"/>
      <c r="B16" s="472"/>
      <c r="C16" s="34"/>
      <c r="D16" s="19"/>
      <c r="E16" s="11"/>
      <c r="F16" s="260">
        <f t="shared" si="0"/>
        <v>0</v>
      </c>
      <c r="G16" s="43"/>
      <c r="H16" s="18"/>
      <c r="I16" s="179">
        <f t="shared" si="1"/>
        <v>0</v>
      </c>
      <c r="J16" s="254"/>
      <c r="K16" s="254"/>
      <c r="L16" s="254"/>
      <c r="M16" s="254"/>
      <c r="N16" s="254"/>
      <c r="O16" s="6"/>
      <c r="P16" s="6"/>
      <c r="Q16" s="6"/>
      <c r="R16" s="6"/>
      <c r="S16" s="6"/>
      <c r="T16" s="6"/>
      <c r="U16" s="6"/>
      <c r="V16" s="6"/>
      <c r="W16" s="6"/>
      <c r="X16" s="6"/>
      <c r="Y16" s="6"/>
      <c r="Z16" s="6"/>
    </row>
    <row r="17" spans="1:26" ht="21.75" customHeight="1">
      <c r="A17" s="476"/>
      <c r="B17" s="472"/>
      <c r="C17" s="34"/>
      <c r="D17" s="19"/>
      <c r="E17" s="11"/>
      <c r="F17" s="260">
        <f t="shared" si="0"/>
        <v>0</v>
      </c>
      <c r="G17" s="43"/>
      <c r="H17" s="18"/>
      <c r="I17" s="179">
        <f t="shared" si="1"/>
        <v>0</v>
      </c>
      <c r="J17" s="254"/>
      <c r="K17" s="254"/>
      <c r="L17" s="254"/>
      <c r="M17" s="254"/>
      <c r="N17" s="254"/>
      <c r="O17" s="6"/>
      <c r="P17" s="6"/>
      <c r="Q17" s="6"/>
      <c r="R17" s="6"/>
      <c r="S17" s="6"/>
      <c r="T17" s="6"/>
      <c r="U17" s="6"/>
      <c r="V17" s="6"/>
      <c r="W17" s="6"/>
      <c r="X17" s="6"/>
      <c r="Y17" s="6"/>
      <c r="Z17" s="6"/>
    </row>
    <row r="18" spans="1:26" ht="21.75" customHeight="1">
      <c r="A18" s="476"/>
      <c r="B18" s="472"/>
      <c r="C18" s="34"/>
      <c r="D18" s="19"/>
      <c r="E18" s="11"/>
      <c r="F18" s="263">
        <f t="shared" si="0"/>
        <v>0</v>
      </c>
      <c r="G18" s="34"/>
      <c r="H18" s="16"/>
      <c r="I18" s="182">
        <f t="shared" si="1"/>
        <v>0</v>
      </c>
      <c r="J18" s="254"/>
      <c r="K18" s="254"/>
      <c r="L18" s="254"/>
      <c r="M18" s="254"/>
      <c r="N18" s="254"/>
      <c r="O18" s="6"/>
      <c r="P18" s="6"/>
      <c r="Q18" s="6"/>
      <c r="R18" s="6"/>
      <c r="S18" s="6"/>
      <c r="T18" s="6"/>
      <c r="U18" s="6"/>
      <c r="V18" s="6"/>
      <c r="W18" s="6"/>
      <c r="X18" s="6"/>
      <c r="Y18" s="6"/>
      <c r="Z18" s="6"/>
    </row>
    <row r="19" spans="1:26" ht="15.75" customHeight="1" thickBot="1">
      <c r="A19" s="46"/>
      <c r="B19" s="47"/>
      <c r="C19" s="467" t="s">
        <v>122</v>
      </c>
      <c r="D19" s="468"/>
      <c r="E19" s="468"/>
      <c r="F19" s="25">
        <f>SUM(F6:F18)</f>
        <v>0</v>
      </c>
      <c r="G19" s="467" t="s">
        <v>123</v>
      </c>
      <c r="H19" s="468"/>
      <c r="I19" s="25">
        <f>SUM(I6:I18)</f>
        <v>0</v>
      </c>
      <c r="J19" s="255"/>
      <c r="K19" s="255"/>
      <c r="L19" s="255"/>
      <c r="M19" s="255"/>
      <c r="N19" s="255"/>
      <c r="O19" s="7"/>
      <c r="P19" s="7"/>
      <c r="Q19" s="7"/>
      <c r="R19" s="7"/>
      <c r="S19" s="7"/>
      <c r="T19" s="7"/>
      <c r="U19" s="7"/>
      <c r="V19" s="7"/>
      <c r="W19" s="7"/>
      <c r="X19" s="7"/>
      <c r="Y19" s="7"/>
      <c r="Z19" s="7"/>
    </row>
    <row r="20" spans="1:26" ht="20.149999999999999" customHeight="1" thickBot="1">
      <c r="A20" s="469" t="s">
        <v>125</v>
      </c>
      <c r="B20" s="470"/>
      <c r="C20" s="470"/>
      <c r="D20" s="470"/>
      <c r="E20" s="470"/>
      <c r="F20" s="470"/>
      <c r="G20" s="470"/>
      <c r="H20" s="470"/>
      <c r="I20" s="26">
        <f>SUM(I19,F19)</f>
        <v>0</v>
      </c>
      <c r="J20" s="255"/>
      <c r="K20" s="255"/>
      <c r="L20" s="255"/>
      <c r="M20" s="255"/>
      <c r="N20" s="255"/>
      <c r="O20" s="7"/>
      <c r="P20" s="7"/>
      <c r="Q20" s="7"/>
      <c r="R20" s="7"/>
      <c r="S20" s="7"/>
      <c r="T20" s="7"/>
      <c r="U20" s="7"/>
      <c r="V20" s="7"/>
      <c r="W20" s="7"/>
      <c r="X20" s="7"/>
      <c r="Y20" s="7"/>
      <c r="Z20" s="7"/>
    </row>
    <row r="21" spans="1:26" ht="36" customHeight="1" thickBot="1">
      <c r="A21" s="477" t="s">
        <v>158</v>
      </c>
      <c r="B21" s="478"/>
      <c r="C21" s="478"/>
      <c r="D21" s="478"/>
      <c r="E21" s="478"/>
      <c r="F21" s="478"/>
      <c r="G21" s="478"/>
      <c r="H21" s="478"/>
      <c r="I21" s="479"/>
      <c r="J21" s="255"/>
      <c r="K21" s="255"/>
      <c r="L21" s="255"/>
      <c r="M21" s="255"/>
      <c r="N21" s="255"/>
      <c r="O21" s="7"/>
      <c r="P21" s="7"/>
      <c r="Q21" s="7"/>
      <c r="R21" s="7"/>
      <c r="S21" s="7"/>
      <c r="T21" s="7"/>
      <c r="U21" s="7"/>
      <c r="V21" s="7"/>
      <c r="W21" s="7"/>
      <c r="X21" s="7"/>
      <c r="Y21" s="7"/>
      <c r="Z21" s="7"/>
    </row>
    <row r="22" spans="1:26" ht="15.5">
      <c r="A22" s="452" t="s">
        <v>93</v>
      </c>
      <c r="B22" s="453"/>
      <c r="C22" s="390" t="s">
        <v>91</v>
      </c>
      <c r="D22" s="382"/>
      <c r="E22" s="382"/>
      <c r="F22" s="383"/>
      <c r="G22" s="381" t="s">
        <v>92</v>
      </c>
      <c r="H22" s="382"/>
      <c r="I22" s="383"/>
      <c r="J22" s="256"/>
      <c r="K22" s="256"/>
      <c r="L22" s="256"/>
      <c r="M22" s="256"/>
      <c r="N22" s="256"/>
      <c r="O22" s="8"/>
      <c r="P22" s="8"/>
      <c r="Q22" s="8"/>
      <c r="R22" s="8"/>
      <c r="S22" s="8"/>
      <c r="T22" s="8"/>
      <c r="U22" s="8"/>
      <c r="V22" s="8"/>
      <c r="W22" s="8"/>
      <c r="X22" s="8"/>
      <c r="Y22" s="8"/>
      <c r="Z22" s="8"/>
    </row>
    <row r="23" spans="1:26" ht="15.75" customHeight="1" thickBot="1">
      <c r="A23" s="454"/>
      <c r="B23" s="455"/>
      <c r="C23" s="37" t="s">
        <v>129</v>
      </c>
      <c r="D23" s="27" t="s">
        <v>95</v>
      </c>
      <c r="E23" s="28" t="s">
        <v>61</v>
      </c>
      <c r="F23" s="38" t="s">
        <v>79</v>
      </c>
      <c r="G23" s="44" t="s">
        <v>96</v>
      </c>
      <c r="H23" s="30" t="s">
        <v>85</v>
      </c>
      <c r="I23" s="31" t="s">
        <v>79</v>
      </c>
      <c r="J23" s="256"/>
      <c r="K23" s="256"/>
      <c r="L23" s="256"/>
      <c r="M23" s="256"/>
      <c r="N23" s="256"/>
      <c r="O23" s="8"/>
      <c r="P23" s="8"/>
      <c r="Q23" s="8"/>
      <c r="R23" s="8"/>
      <c r="S23" s="8"/>
      <c r="T23" s="8"/>
      <c r="U23" s="8"/>
      <c r="V23" s="8"/>
      <c r="W23" s="8"/>
      <c r="X23" s="8"/>
      <c r="Y23" s="8"/>
      <c r="Z23" s="8"/>
    </row>
    <row r="24" spans="1:26" ht="21.75" customHeight="1">
      <c r="A24" s="471"/>
      <c r="B24" s="472"/>
      <c r="C24" s="39">
        <v>1</v>
      </c>
      <c r="D24" s="20"/>
      <c r="E24" s="12">
        <v>0</v>
      </c>
      <c r="F24" s="40">
        <f t="shared" ref="F24:F36" si="2">C24*E24</f>
        <v>0</v>
      </c>
      <c r="G24" s="39">
        <v>1</v>
      </c>
      <c r="H24" s="12">
        <v>0</v>
      </c>
      <c r="I24" s="264">
        <f>G24*H24</f>
        <v>0</v>
      </c>
      <c r="J24" s="252"/>
      <c r="K24" s="252"/>
      <c r="L24" s="252"/>
      <c r="M24" s="252"/>
      <c r="N24" s="252"/>
    </row>
    <row r="25" spans="1:26" ht="21.75" customHeight="1">
      <c r="A25" s="471"/>
      <c r="B25" s="472"/>
      <c r="C25" s="39"/>
      <c r="D25" s="20"/>
      <c r="E25" s="12"/>
      <c r="F25" s="40">
        <f t="shared" si="2"/>
        <v>0</v>
      </c>
      <c r="G25" s="39"/>
      <c r="H25" s="12"/>
      <c r="I25" s="206">
        <f t="shared" ref="I25:I36" si="3">G25*H25</f>
        <v>0</v>
      </c>
      <c r="J25" s="252"/>
      <c r="K25" s="252"/>
      <c r="L25" s="252"/>
      <c r="M25" s="252"/>
      <c r="N25" s="252"/>
    </row>
    <row r="26" spans="1:26" ht="21.75" customHeight="1">
      <c r="A26" s="471"/>
      <c r="B26" s="472"/>
      <c r="C26" s="39"/>
      <c r="D26" s="20"/>
      <c r="E26" s="12"/>
      <c r="F26" s="40">
        <f t="shared" si="2"/>
        <v>0</v>
      </c>
      <c r="G26" s="39"/>
      <c r="H26" s="12"/>
      <c r="I26" s="206">
        <f t="shared" si="3"/>
        <v>0</v>
      </c>
      <c r="J26" s="252"/>
      <c r="K26" s="252"/>
      <c r="L26" s="252"/>
      <c r="M26" s="252"/>
      <c r="N26" s="252"/>
    </row>
    <row r="27" spans="1:26" ht="21.75" customHeight="1">
      <c r="A27" s="471"/>
      <c r="B27" s="472"/>
      <c r="C27" s="39"/>
      <c r="D27" s="20"/>
      <c r="E27" s="12"/>
      <c r="F27" s="40">
        <f t="shared" si="2"/>
        <v>0</v>
      </c>
      <c r="G27" s="39"/>
      <c r="H27" s="12"/>
      <c r="I27" s="206">
        <f t="shared" si="3"/>
        <v>0</v>
      </c>
      <c r="J27" s="252"/>
      <c r="K27" s="252"/>
      <c r="L27" s="252"/>
      <c r="M27" s="252"/>
      <c r="N27" s="252"/>
    </row>
    <row r="28" spans="1:26" ht="21.75" customHeight="1">
      <c r="A28" s="471"/>
      <c r="B28" s="472"/>
      <c r="C28" s="39"/>
      <c r="D28" s="20"/>
      <c r="E28" s="12"/>
      <c r="F28" s="40">
        <f t="shared" si="2"/>
        <v>0</v>
      </c>
      <c r="G28" s="39"/>
      <c r="H28" s="12"/>
      <c r="I28" s="206">
        <f t="shared" si="3"/>
        <v>0</v>
      </c>
      <c r="J28" s="252"/>
      <c r="K28" s="252"/>
      <c r="L28" s="252"/>
      <c r="M28" s="252"/>
      <c r="N28" s="252"/>
    </row>
    <row r="29" spans="1:26" ht="21.75" customHeight="1">
      <c r="A29" s="471"/>
      <c r="B29" s="472"/>
      <c r="C29" s="39"/>
      <c r="D29" s="20"/>
      <c r="E29" s="12"/>
      <c r="F29" s="40">
        <f t="shared" si="2"/>
        <v>0</v>
      </c>
      <c r="G29" s="39"/>
      <c r="H29" s="12"/>
      <c r="I29" s="206">
        <f t="shared" si="3"/>
        <v>0</v>
      </c>
      <c r="J29" s="252"/>
      <c r="K29" s="252"/>
      <c r="L29" s="252"/>
      <c r="M29" s="252"/>
      <c r="N29" s="252"/>
    </row>
    <row r="30" spans="1:26" ht="21.75" customHeight="1">
      <c r="A30" s="471"/>
      <c r="B30" s="472"/>
      <c r="C30" s="39"/>
      <c r="D30" s="20"/>
      <c r="E30" s="12"/>
      <c r="F30" s="40">
        <f t="shared" si="2"/>
        <v>0</v>
      </c>
      <c r="G30" s="39"/>
      <c r="H30" s="12"/>
      <c r="I30" s="206">
        <f t="shared" si="3"/>
        <v>0</v>
      </c>
      <c r="J30" s="252"/>
      <c r="K30" s="252"/>
      <c r="L30" s="252"/>
      <c r="M30" s="252"/>
      <c r="N30" s="252"/>
    </row>
    <row r="31" spans="1:26" ht="21.75" customHeight="1">
      <c r="A31" s="471"/>
      <c r="B31" s="472"/>
      <c r="C31" s="39"/>
      <c r="D31" s="20"/>
      <c r="E31" s="12"/>
      <c r="F31" s="40">
        <f t="shared" si="2"/>
        <v>0</v>
      </c>
      <c r="G31" s="39"/>
      <c r="H31" s="12"/>
      <c r="I31" s="206">
        <f t="shared" si="3"/>
        <v>0</v>
      </c>
      <c r="J31" s="252"/>
      <c r="K31" s="252"/>
      <c r="L31" s="252"/>
      <c r="M31" s="252"/>
      <c r="N31" s="252"/>
    </row>
    <row r="32" spans="1:26" ht="21.75" customHeight="1">
      <c r="A32" s="471"/>
      <c r="B32" s="472"/>
      <c r="C32" s="39"/>
      <c r="D32" s="20"/>
      <c r="E32" s="12"/>
      <c r="F32" s="40">
        <f t="shared" si="2"/>
        <v>0</v>
      </c>
      <c r="G32" s="39"/>
      <c r="H32" s="12"/>
      <c r="I32" s="206">
        <f t="shared" si="3"/>
        <v>0</v>
      </c>
      <c r="J32" s="252"/>
      <c r="K32" s="252"/>
      <c r="L32" s="252"/>
      <c r="M32" s="252"/>
      <c r="N32" s="252"/>
    </row>
    <row r="33" spans="1:14" ht="21.75" customHeight="1">
      <c r="A33" s="471"/>
      <c r="B33" s="472"/>
      <c r="C33" s="39"/>
      <c r="D33" s="20"/>
      <c r="E33" s="12"/>
      <c r="F33" s="40">
        <f t="shared" si="2"/>
        <v>0</v>
      </c>
      <c r="G33" s="39"/>
      <c r="H33" s="12"/>
      <c r="I33" s="206">
        <f t="shared" si="3"/>
        <v>0</v>
      </c>
      <c r="J33" s="252"/>
      <c r="K33" s="252"/>
      <c r="L33" s="252"/>
      <c r="M33" s="252"/>
      <c r="N33" s="252"/>
    </row>
    <row r="34" spans="1:14" ht="21.75" customHeight="1">
      <c r="A34" s="471"/>
      <c r="B34" s="472"/>
      <c r="C34" s="39"/>
      <c r="D34" s="20"/>
      <c r="E34" s="12"/>
      <c r="F34" s="40">
        <f t="shared" si="2"/>
        <v>0</v>
      </c>
      <c r="G34" s="39"/>
      <c r="H34" s="12"/>
      <c r="I34" s="206">
        <f t="shared" si="3"/>
        <v>0</v>
      </c>
      <c r="J34" s="252"/>
      <c r="K34" s="252"/>
      <c r="L34" s="252"/>
      <c r="M34" s="252"/>
      <c r="N34" s="252"/>
    </row>
    <row r="35" spans="1:14" ht="21.75" customHeight="1">
      <c r="A35" s="471"/>
      <c r="B35" s="472"/>
      <c r="C35" s="39"/>
      <c r="D35" s="20"/>
      <c r="E35" s="12"/>
      <c r="F35" s="40">
        <f t="shared" si="2"/>
        <v>0</v>
      </c>
      <c r="G35" s="39"/>
      <c r="H35" s="12"/>
      <c r="I35" s="206">
        <f t="shared" si="3"/>
        <v>0</v>
      </c>
      <c r="J35" s="252"/>
      <c r="K35" s="252"/>
      <c r="L35" s="252"/>
      <c r="M35" s="252"/>
      <c r="N35" s="252"/>
    </row>
    <row r="36" spans="1:14" ht="21.75" customHeight="1">
      <c r="A36" s="471"/>
      <c r="B36" s="472"/>
      <c r="C36" s="41"/>
      <c r="D36" s="21"/>
      <c r="E36" s="13"/>
      <c r="F36" s="42">
        <f t="shared" si="2"/>
        <v>0</v>
      </c>
      <c r="G36" s="41"/>
      <c r="H36" s="13"/>
      <c r="I36" s="265">
        <f t="shared" si="3"/>
        <v>0</v>
      </c>
      <c r="J36" s="252"/>
      <c r="K36" s="252"/>
      <c r="L36" s="252"/>
      <c r="M36" s="252"/>
      <c r="N36" s="252"/>
    </row>
    <row r="37" spans="1:14" ht="15.75" customHeight="1" thickBot="1">
      <c r="A37" s="46"/>
      <c r="B37" s="47"/>
      <c r="C37" s="473" t="s">
        <v>122</v>
      </c>
      <c r="D37" s="474"/>
      <c r="E37" s="475"/>
      <c r="F37" s="266">
        <f>SUM(F24:F36)</f>
        <v>0</v>
      </c>
      <c r="G37" s="473" t="s">
        <v>123</v>
      </c>
      <c r="H37" s="475"/>
      <c r="I37" s="266">
        <f>SUM(I24:I36)</f>
        <v>0</v>
      </c>
      <c r="J37" s="252"/>
      <c r="K37" s="252"/>
      <c r="L37" s="252"/>
      <c r="M37" s="252"/>
      <c r="N37" s="252"/>
    </row>
    <row r="38" spans="1:14" ht="20.149999999999999" customHeight="1" thickBot="1">
      <c r="A38" s="469" t="s">
        <v>124</v>
      </c>
      <c r="B38" s="470"/>
      <c r="C38" s="470"/>
      <c r="D38" s="470"/>
      <c r="E38" s="470"/>
      <c r="F38" s="470"/>
      <c r="G38" s="470"/>
      <c r="H38" s="470"/>
      <c r="I38" s="267">
        <f>SUM(I37,F37)</f>
        <v>0</v>
      </c>
      <c r="J38" s="252"/>
      <c r="K38" s="252"/>
      <c r="L38" s="252"/>
      <c r="M38" s="252"/>
      <c r="N38" s="252"/>
    </row>
    <row r="39" spans="1:14" ht="15.75" customHeight="1">
      <c r="A39" s="252"/>
      <c r="B39" s="252"/>
      <c r="C39" s="252"/>
      <c r="D39" s="252"/>
      <c r="E39" s="257"/>
      <c r="F39" s="252"/>
      <c r="G39" s="252"/>
      <c r="H39" s="252"/>
      <c r="I39" s="252"/>
      <c r="J39" s="252"/>
      <c r="K39" s="252"/>
      <c r="L39" s="252"/>
      <c r="M39" s="252"/>
      <c r="N39" s="252"/>
    </row>
    <row r="40" spans="1:14" ht="15.75" customHeight="1">
      <c r="A40" s="252"/>
      <c r="B40" s="252"/>
      <c r="C40" s="252"/>
      <c r="D40" s="252"/>
      <c r="E40" s="257"/>
      <c r="F40" s="252"/>
      <c r="G40" s="252"/>
      <c r="H40" s="252"/>
      <c r="I40" s="252"/>
      <c r="J40" s="252"/>
      <c r="K40" s="252"/>
      <c r="L40" s="252"/>
      <c r="M40" s="252"/>
      <c r="N40" s="252"/>
    </row>
    <row r="41" spans="1:14" ht="15.75" customHeight="1">
      <c r="A41" s="252"/>
      <c r="B41" s="252"/>
      <c r="C41" s="252"/>
      <c r="D41" s="252"/>
      <c r="E41" s="257"/>
      <c r="F41" s="252"/>
      <c r="G41" s="252"/>
      <c r="H41" s="252"/>
      <c r="I41" s="252"/>
      <c r="J41" s="252"/>
      <c r="K41" s="252"/>
      <c r="L41" s="252"/>
      <c r="M41" s="252"/>
      <c r="N41" s="252"/>
    </row>
    <row r="42" spans="1:14" ht="15.75" customHeight="1">
      <c r="A42" s="252"/>
      <c r="B42" s="252"/>
      <c r="C42" s="252"/>
      <c r="D42" s="252"/>
      <c r="E42" s="257"/>
      <c r="F42" s="252"/>
      <c r="G42" s="252"/>
      <c r="H42" s="252"/>
      <c r="I42" s="252"/>
      <c r="J42" s="252"/>
      <c r="K42" s="252"/>
      <c r="L42" s="252"/>
      <c r="M42" s="252"/>
      <c r="N42" s="252"/>
    </row>
    <row r="43" spans="1:14" ht="15.75" customHeight="1">
      <c r="A43" s="252"/>
      <c r="B43" s="252"/>
      <c r="C43" s="252"/>
      <c r="D43" s="252"/>
      <c r="E43" s="257"/>
      <c r="F43" s="252"/>
      <c r="G43" s="252"/>
      <c r="H43" s="252"/>
      <c r="I43" s="252"/>
      <c r="J43" s="252"/>
      <c r="K43" s="252"/>
      <c r="L43" s="252"/>
      <c r="M43" s="252"/>
      <c r="N43" s="252"/>
    </row>
    <row r="44" spans="1:14" ht="15.75" customHeight="1">
      <c r="A44" s="252"/>
      <c r="B44" s="252"/>
      <c r="C44" s="252"/>
      <c r="D44" s="252"/>
      <c r="E44" s="257"/>
      <c r="F44" s="252"/>
      <c r="G44" s="252"/>
      <c r="H44" s="252"/>
      <c r="I44" s="252"/>
      <c r="J44" s="252"/>
      <c r="K44" s="252"/>
      <c r="L44" s="252"/>
      <c r="M44" s="252"/>
      <c r="N44" s="252"/>
    </row>
    <row r="45" spans="1:14" ht="15.75" customHeight="1">
      <c r="A45" s="252"/>
      <c r="B45" s="252"/>
      <c r="C45" s="252"/>
      <c r="D45" s="252"/>
      <c r="E45" s="257"/>
      <c r="F45" s="252"/>
      <c r="G45" s="252"/>
      <c r="H45" s="252"/>
      <c r="I45" s="252"/>
      <c r="J45" s="252"/>
      <c r="K45" s="252"/>
      <c r="L45" s="252"/>
      <c r="M45" s="252"/>
      <c r="N45" s="252"/>
    </row>
    <row r="46" spans="1:14" ht="15.75" customHeight="1">
      <c r="E46" s="9"/>
    </row>
    <row r="47" spans="1:14" ht="15.75" customHeight="1">
      <c r="E47" s="9"/>
    </row>
    <row r="48" spans="1:14" ht="15.75" customHeight="1">
      <c r="E48" s="9"/>
    </row>
    <row r="49" spans="5:5" ht="15.75" customHeight="1">
      <c r="E49" s="9"/>
    </row>
    <row r="50" spans="5:5" ht="15.75" customHeight="1">
      <c r="E50" s="9"/>
    </row>
    <row r="51" spans="5:5" ht="15.75" customHeight="1">
      <c r="E51" s="9"/>
    </row>
    <row r="52" spans="5:5" ht="15.75" customHeight="1">
      <c r="E52" s="9"/>
    </row>
    <row r="53" spans="5:5" ht="15.75" customHeight="1">
      <c r="E53" s="9"/>
    </row>
    <row r="54" spans="5:5" ht="15.75" customHeight="1">
      <c r="E54" s="9"/>
    </row>
    <row r="55" spans="5:5" ht="15.75" customHeight="1">
      <c r="E55" s="9"/>
    </row>
    <row r="56" spans="5:5" ht="15.75" customHeight="1">
      <c r="E56" s="9"/>
    </row>
    <row r="57" spans="5:5" ht="15.75" customHeight="1">
      <c r="E57" s="9"/>
    </row>
    <row r="58" spans="5:5" ht="15.75" customHeight="1">
      <c r="E58" s="9"/>
    </row>
    <row r="59" spans="5:5" ht="15.75" customHeight="1">
      <c r="E59" s="9"/>
    </row>
    <row r="60" spans="5:5" ht="15.75" customHeight="1">
      <c r="E60" s="9"/>
    </row>
    <row r="61" spans="5:5" ht="15.75" customHeight="1">
      <c r="E61" s="9"/>
    </row>
    <row r="62" spans="5:5" ht="15.75" customHeight="1">
      <c r="E62" s="9"/>
    </row>
    <row r="63" spans="5:5" ht="15.75" customHeight="1">
      <c r="E63" s="9"/>
    </row>
    <row r="64" spans="5: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36:B36"/>
    <mergeCell ref="C37:E37"/>
    <mergeCell ref="G37:H37"/>
    <mergeCell ref="A38:H38"/>
    <mergeCell ref="A30:B30"/>
    <mergeCell ref="A31:B31"/>
    <mergeCell ref="A32:B32"/>
    <mergeCell ref="A33:B33"/>
    <mergeCell ref="A34:B34"/>
    <mergeCell ref="A35:B35"/>
    <mergeCell ref="A29:B29"/>
    <mergeCell ref="A18:B18"/>
    <mergeCell ref="C19:E19"/>
    <mergeCell ref="G19:H19"/>
    <mergeCell ref="A20:H20"/>
    <mergeCell ref="A21:I21"/>
    <mergeCell ref="A22:B23"/>
    <mergeCell ref="C22:F22"/>
    <mergeCell ref="G22:I22"/>
    <mergeCell ref="A24:B24"/>
    <mergeCell ref="A25:B25"/>
    <mergeCell ref="A26:B26"/>
    <mergeCell ref="A27:B27"/>
    <mergeCell ref="A28:B28"/>
    <mergeCell ref="A17:B17"/>
    <mergeCell ref="A6:B6"/>
    <mergeCell ref="A7:B7"/>
    <mergeCell ref="A8:B8"/>
    <mergeCell ref="A9:B9"/>
    <mergeCell ref="A10:B10"/>
    <mergeCell ref="A11:B11"/>
    <mergeCell ref="A12:B12"/>
    <mergeCell ref="A13:B13"/>
    <mergeCell ref="A14:B14"/>
    <mergeCell ref="A15:B15"/>
    <mergeCell ref="A16:B16"/>
    <mergeCell ref="A3:I3"/>
    <mergeCell ref="A4:B5"/>
    <mergeCell ref="C4:F4"/>
    <mergeCell ref="G4:I4"/>
    <mergeCell ref="A1:F2"/>
  </mergeCells>
  <conditionalFormatting sqref="G2:H2">
    <cfRule type="expression" dxfId="20" priority="1" stopIfTrue="1">
      <formula>"MM/DD/YY"</formula>
    </cfRule>
  </conditionalFormatting>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9217" r:id="rId4" name="CommandButton1">
          <controlPr defaultSize="0" autoLine="0" altText="Add A Row Command Button" r:id="rId5">
            <anchor moveWithCells="1">
              <from>
                <xdr:col>9</xdr:col>
                <xdr:colOff>285750</xdr:colOff>
                <xdr:row>17</xdr:row>
                <xdr:rowOff>0</xdr:rowOff>
              </from>
              <to>
                <xdr:col>11</xdr:col>
                <xdr:colOff>412750</xdr:colOff>
                <xdr:row>18</xdr:row>
                <xdr:rowOff>12700</xdr:rowOff>
              </to>
            </anchor>
          </controlPr>
        </control>
      </mc:Choice>
      <mc:Fallback>
        <control shapeId="9217" r:id="rId4" name="CommandButton1"/>
      </mc:Fallback>
    </mc:AlternateContent>
  </control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13C83-969E-4D5A-AFFC-DFBE64874A50}">
  <sheetPr codeName="Sheet9">
    <pageSetUpPr fitToPage="1"/>
  </sheetPr>
  <dimension ref="A1:Z1003"/>
  <sheetViews>
    <sheetView topLeftCell="C6" zoomScaleNormal="10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160</v>
      </c>
      <c r="B1" s="387"/>
      <c r="C1" s="387"/>
      <c r="D1" s="387"/>
      <c r="E1" s="387"/>
      <c r="F1" s="387"/>
      <c r="G1" s="258" t="s">
        <v>165</v>
      </c>
      <c r="H1" s="259"/>
      <c r="I1" s="162" t="s">
        <v>166</v>
      </c>
      <c r="J1" s="252"/>
      <c r="K1" s="252"/>
      <c r="L1" s="252"/>
      <c r="M1" s="252"/>
      <c r="N1" s="252"/>
    </row>
    <row r="2" spans="1:26" ht="15" customHeight="1" thickBot="1">
      <c r="A2" s="388"/>
      <c r="B2" s="389"/>
      <c r="C2" s="389"/>
      <c r="D2" s="389"/>
      <c r="E2" s="389"/>
      <c r="F2" s="389"/>
      <c r="G2" s="163" t="str">
        <f>IF(INPUT!C3=0,"",INPUT!C3)</f>
        <v>RLP # 36C248-25-R-0110 – EXHIBIT K</v>
      </c>
      <c r="H2" s="163"/>
      <c r="I2" s="164" t="str">
        <f>IF(INPUT!C10=0,"",INPUT!C10)</f>
        <v/>
      </c>
      <c r="J2" s="252"/>
      <c r="K2" s="252"/>
      <c r="L2" s="252"/>
      <c r="M2" s="252"/>
      <c r="N2" s="252"/>
    </row>
    <row r="3" spans="1:26" s="10" customFormat="1" ht="36" customHeight="1" thickBot="1">
      <c r="A3" s="480" t="s">
        <v>161</v>
      </c>
      <c r="B3" s="402"/>
      <c r="C3" s="402"/>
      <c r="D3" s="402"/>
      <c r="E3" s="402"/>
      <c r="F3" s="402"/>
      <c r="G3" s="402"/>
      <c r="H3" s="402"/>
      <c r="I3" s="403"/>
      <c r="J3" s="253"/>
      <c r="K3" s="253"/>
      <c r="L3" s="253"/>
      <c r="M3" s="253"/>
      <c r="N3" s="253"/>
    </row>
    <row r="4" spans="1:26" ht="15.5">
      <c r="A4" s="452" t="s">
        <v>93</v>
      </c>
      <c r="B4" s="453"/>
      <c r="C4" s="390" t="s">
        <v>91</v>
      </c>
      <c r="D4" s="382"/>
      <c r="E4" s="382"/>
      <c r="F4" s="383"/>
      <c r="G4" s="381" t="s">
        <v>92</v>
      </c>
      <c r="H4" s="382"/>
      <c r="I4" s="383"/>
      <c r="J4" s="252"/>
      <c r="K4" s="252"/>
      <c r="L4" s="252"/>
      <c r="M4" s="252"/>
      <c r="N4" s="252"/>
    </row>
    <row r="5" spans="1:26" ht="15.75" customHeight="1" thickBot="1">
      <c r="A5" s="454"/>
      <c r="B5" s="455"/>
      <c r="C5" s="37" t="s">
        <v>129</v>
      </c>
      <c r="D5" s="27" t="s">
        <v>95</v>
      </c>
      <c r="E5" s="28" t="s">
        <v>61</v>
      </c>
      <c r="F5" s="38" t="s">
        <v>79</v>
      </c>
      <c r="G5" s="44" t="s">
        <v>96</v>
      </c>
      <c r="H5" s="30" t="s">
        <v>85</v>
      </c>
      <c r="I5" s="31" t="s">
        <v>79</v>
      </c>
      <c r="J5" s="252"/>
      <c r="K5" s="252"/>
      <c r="L5" s="252"/>
      <c r="M5" s="252"/>
      <c r="N5" s="252"/>
    </row>
    <row r="6" spans="1:26" ht="21.75" customHeight="1">
      <c r="A6" s="476" t="s">
        <v>149</v>
      </c>
      <c r="B6" s="472"/>
      <c r="C6" s="34">
        <v>1</v>
      </c>
      <c r="D6" s="19" t="s">
        <v>148</v>
      </c>
      <c r="E6" s="11">
        <v>0</v>
      </c>
      <c r="F6" s="260">
        <f t="shared" ref="F6:F18" si="0">C6*E6</f>
        <v>0</v>
      </c>
      <c r="G6" s="34">
        <v>1</v>
      </c>
      <c r="H6" s="17">
        <v>0</v>
      </c>
      <c r="I6" s="261">
        <f t="shared" ref="I6:I18" si="1">G6*H6</f>
        <v>0</v>
      </c>
      <c r="J6" s="254"/>
      <c r="K6" s="254"/>
      <c r="L6" s="254"/>
      <c r="M6" s="254"/>
      <c r="N6" s="254"/>
      <c r="O6" s="6"/>
      <c r="P6" s="6"/>
      <c r="Q6" s="6"/>
      <c r="R6" s="6"/>
      <c r="S6" s="6"/>
      <c r="T6" s="6"/>
      <c r="U6" s="6"/>
      <c r="V6" s="6"/>
      <c r="W6" s="6"/>
      <c r="X6" s="6"/>
      <c r="Y6" s="6"/>
      <c r="Z6" s="6"/>
    </row>
    <row r="7" spans="1:26" ht="21.75" customHeight="1">
      <c r="A7" s="476"/>
      <c r="B7" s="472"/>
      <c r="C7" s="34"/>
      <c r="D7" s="19"/>
      <c r="E7" s="11"/>
      <c r="F7" s="260">
        <f>C7*E7</f>
        <v>0</v>
      </c>
      <c r="G7" s="43"/>
      <c r="H7" s="18"/>
      <c r="I7" s="179">
        <f t="shared" si="1"/>
        <v>0</v>
      </c>
      <c r="J7" s="254"/>
      <c r="K7" s="254"/>
      <c r="L7" s="254"/>
      <c r="M7" s="254"/>
      <c r="N7" s="254"/>
      <c r="O7" s="6"/>
      <c r="P7" s="6"/>
      <c r="Q7" s="6"/>
      <c r="R7" s="6"/>
      <c r="S7" s="6"/>
      <c r="T7" s="6"/>
      <c r="U7" s="6"/>
      <c r="V7" s="6"/>
      <c r="W7" s="6"/>
      <c r="X7" s="6"/>
      <c r="Y7" s="6"/>
      <c r="Z7" s="6"/>
    </row>
    <row r="8" spans="1:26" ht="21.75" customHeight="1">
      <c r="A8" s="476"/>
      <c r="B8" s="472"/>
      <c r="C8" s="34"/>
      <c r="D8" s="19"/>
      <c r="E8" s="11"/>
      <c r="F8" s="262">
        <f t="shared" si="0"/>
        <v>0</v>
      </c>
      <c r="G8" s="43"/>
      <c r="H8" s="18"/>
      <c r="I8" s="179">
        <f t="shared" si="1"/>
        <v>0</v>
      </c>
      <c r="J8" s="254"/>
      <c r="K8" s="254"/>
      <c r="L8" s="254"/>
      <c r="M8" s="254"/>
      <c r="N8" s="254"/>
      <c r="O8" s="6"/>
      <c r="P8" s="6"/>
      <c r="Q8" s="6"/>
      <c r="R8" s="6"/>
      <c r="S8" s="6"/>
      <c r="T8" s="6"/>
      <c r="U8" s="6"/>
      <c r="V8" s="6"/>
      <c r="W8" s="6"/>
      <c r="X8" s="6"/>
      <c r="Y8" s="6"/>
      <c r="Z8" s="6"/>
    </row>
    <row r="9" spans="1:26" ht="21.75" customHeight="1">
      <c r="A9" s="476"/>
      <c r="B9" s="472"/>
      <c r="C9" s="34"/>
      <c r="D9" s="19"/>
      <c r="E9" s="11"/>
      <c r="F9" s="262">
        <f t="shared" si="0"/>
        <v>0</v>
      </c>
      <c r="G9" s="43"/>
      <c r="H9" s="18"/>
      <c r="I9" s="179">
        <f t="shared" si="1"/>
        <v>0</v>
      </c>
      <c r="J9" s="254"/>
      <c r="K9" s="254"/>
      <c r="L9" s="254"/>
      <c r="M9" s="254"/>
      <c r="N9" s="254"/>
      <c r="O9" s="6"/>
      <c r="P9" s="6"/>
      <c r="Q9" s="6"/>
      <c r="R9" s="6"/>
      <c r="S9" s="6"/>
      <c r="T9" s="6"/>
      <c r="U9" s="6"/>
      <c r="V9" s="6"/>
      <c r="W9" s="6"/>
      <c r="X9" s="6"/>
      <c r="Y9" s="6"/>
      <c r="Z9" s="6"/>
    </row>
    <row r="10" spans="1:26" ht="21.75" customHeight="1">
      <c r="A10" s="476"/>
      <c r="B10" s="472"/>
      <c r="C10" s="34"/>
      <c r="D10" s="19"/>
      <c r="E10" s="11"/>
      <c r="F10" s="260">
        <f t="shared" si="0"/>
        <v>0</v>
      </c>
      <c r="G10" s="43"/>
      <c r="H10" s="18"/>
      <c r="I10" s="179">
        <f t="shared" si="1"/>
        <v>0</v>
      </c>
      <c r="J10" s="254"/>
      <c r="K10" s="254"/>
      <c r="L10" s="254"/>
      <c r="M10" s="254"/>
      <c r="N10" s="254"/>
      <c r="O10" s="6"/>
      <c r="P10" s="6"/>
      <c r="Q10" s="6"/>
      <c r="R10" s="6"/>
      <c r="S10" s="6"/>
      <c r="T10" s="6"/>
      <c r="U10" s="6"/>
      <c r="V10" s="6"/>
      <c r="W10" s="6"/>
      <c r="X10" s="6"/>
      <c r="Y10" s="6"/>
      <c r="Z10" s="6"/>
    </row>
    <row r="11" spans="1:26" ht="21.75" customHeight="1">
      <c r="A11" s="476"/>
      <c r="B11" s="472"/>
      <c r="C11" s="34"/>
      <c r="D11" s="19"/>
      <c r="E11" s="11"/>
      <c r="F11" s="260">
        <f t="shared" si="0"/>
        <v>0</v>
      </c>
      <c r="G11" s="43"/>
      <c r="H11" s="18"/>
      <c r="I11" s="179">
        <f t="shared" si="1"/>
        <v>0</v>
      </c>
      <c r="J11" s="254"/>
      <c r="K11" s="254"/>
      <c r="L11" s="254"/>
      <c r="M11" s="254"/>
      <c r="N11" s="254"/>
      <c r="O11" s="6"/>
      <c r="P11" s="6"/>
      <c r="Q11" s="6"/>
      <c r="R11" s="6"/>
      <c r="S11" s="6"/>
      <c r="T11" s="6"/>
      <c r="U11" s="6"/>
      <c r="V11" s="6"/>
      <c r="W11" s="6"/>
      <c r="X11" s="6"/>
      <c r="Y11" s="6"/>
      <c r="Z11" s="6"/>
    </row>
    <row r="12" spans="1:26" ht="21.75" customHeight="1">
      <c r="A12" s="476"/>
      <c r="B12" s="472"/>
      <c r="C12" s="34"/>
      <c r="D12" s="19"/>
      <c r="E12" s="11"/>
      <c r="F12" s="260">
        <f t="shared" si="0"/>
        <v>0</v>
      </c>
      <c r="G12" s="43"/>
      <c r="H12" s="18"/>
      <c r="I12" s="179">
        <f t="shared" si="1"/>
        <v>0</v>
      </c>
      <c r="J12" s="254"/>
      <c r="K12" s="254"/>
      <c r="L12" s="254"/>
      <c r="M12" s="254"/>
      <c r="N12" s="254"/>
      <c r="O12" s="6"/>
      <c r="P12" s="6"/>
      <c r="Q12" s="6"/>
      <c r="R12" s="6"/>
      <c r="S12" s="6"/>
      <c r="T12" s="6"/>
      <c r="U12" s="6"/>
      <c r="V12" s="6"/>
      <c r="W12" s="6"/>
      <c r="X12" s="6"/>
      <c r="Y12" s="6"/>
      <c r="Z12" s="6"/>
    </row>
    <row r="13" spans="1:26" ht="21.75" customHeight="1">
      <c r="A13" s="476"/>
      <c r="B13" s="472"/>
      <c r="C13" s="34"/>
      <c r="D13" s="19"/>
      <c r="E13" s="11"/>
      <c r="F13" s="260">
        <f t="shared" si="0"/>
        <v>0</v>
      </c>
      <c r="G13" s="43"/>
      <c r="H13" s="18"/>
      <c r="I13" s="179">
        <f t="shared" si="1"/>
        <v>0</v>
      </c>
      <c r="J13" s="254"/>
      <c r="K13" s="254"/>
      <c r="L13" s="254"/>
      <c r="M13" s="254"/>
      <c r="N13" s="254"/>
      <c r="O13" s="6"/>
      <c r="P13" s="6"/>
      <c r="Q13" s="6"/>
      <c r="R13" s="6"/>
      <c r="S13" s="6"/>
      <c r="T13" s="6"/>
      <c r="U13" s="6"/>
      <c r="V13" s="6"/>
      <c r="W13" s="6"/>
      <c r="X13" s="6"/>
      <c r="Y13" s="6"/>
      <c r="Z13" s="6"/>
    </row>
    <row r="14" spans="1:26" ht="21.75" customHeight="1">
      <c r="A14" s="476"/>
      <c r="B14" s="472"/>
      <c r="C14" s="34"/>
      <c r="D14" s="19"/>
      <c r="E14" s="11"/>
      <c r="F14" s="260">
        <f t="shared" si="0"/>
        <v>0</v>
      </c>
      <c r="G14" s="43"/>
      <c r="H14" s="18"/>
      <c r="I14" s="179">
        <f t="shared" si="1"/>
        <v>0</v>
      </c>
      <c r="J14" s="254"/>
      <c r="K14" s="254"/>
      <c r="L14" s="254"/>
      <c r="M14" s="254"/>
      <c r="N14" s="254"/>
      <c r="O14" s="6"/>
      <c r="P14" s="6"/>
      <c r="Q14" s="6"/>
      <c r="R14" s="6"/>
      <c r="S14" s="6"/>
      <c r="T14" s="6"/>
      <c r="U14" s="6"/>
      <c r="V14" s="6"/>
      <c r="W14" s="6"/>
      <c r="X14" s="6"/>
      <c r="Y14" s="6"/>
      <c r="Z14" s="6"/>
    </row>
    <row r="15" spans="1:26" ht="21.75" customHeight="1">
      <c r="A15" s="476"/>
      <c r="B15" s="472"/>
      <c r="C15" s="34"/>
      <c r="D15" s="19"/>
      <c r="E15" s="11"/>
      <c r="F15" s="260">
        <f t="shared" si="0"/>
        <v>0</v>
      </c>
      <c r="G15" s="43"/>
      <c r="H15" s="18"/>
      <c r="I15" s="179">
        <f t="shared" si="1"/>
        <v>0</v>
      </c>
      <c r="J15" s="254"/>
      <c r="K15" s="254"/>
      <c r="L15" s="254"/>
      <c r="M15" s="254"/>
      <c r="N15" s="254"/>
      <c r="O15" s="6"/>
      <c r="P15" s="6"/>
      <c r="Q15" s="6"/>
      <c r="R15" s="6"/>
      <c r="S15" s="6"/>
      <c r="T15" s="6"/>
      <c r="U15" s="6"/>
      <c r="V15" s="6"/>
      <c r="W15" s="6"/>
      <c r="X15" s="6"/>
      <c r="Y15" s="6"/>
      <c r="Z15" s="6"/>
    </row>
    <row r="16" spans="1:26" ht="21.75" customHeight="1">
      <c r="A16" s="476"/>
      <c r="B16" s="472"/>
      <c r="C16" s="34"/>
      <c r="D16" s="19"/>
      <c r="E16" s="11"/>
      <c r="F16" s="260">
        <f t="shared" si="0"/>
        <v>0</v>
      </c>
      <c r="G16" s="43"/>
      <c r="H16" s="18"/>
      <c r="I16" s="179">
        <f t="shared" si="1"/>
        <v>0</v>
      </c>
      <c r="J16" s="254"/>
      <c r="K16" s="254"/>
      <c r="L16" s="254"/>
      <c r="M16" s="254"/>
      <c r="N16" s="254"/>
      <c r="O16" s="6"/>
      <c r="P16" s="6"/>
      <c r="Q16" s="6"/>
      <c r="R16" s="6"/>
      <c r="S16" s="6"/>
      <c r="T16" s="6"/>
      <c r="U16" s="6"/>
      <c r="V16" s="6"/>
      <c r="W16" s="6"/>
      <c r="X16" s="6"/>
      <c r="Y16" s="6"/>
      <c r="Z16" s="6"/>
    </row>
    <row r="17" spans="1:26" ht="21.75" customHeight="1">
      <c r="A17" s="476"/>
      <c r="B17" s="472"/>
      <c r="C17" s="34"/>
      <c r="D17" s="19"/>
      <c r="E17" s="11"/>
      <c r="F17" s="260">
        <f t="shared" si="0"/>
        <v>0</v>
      </c>
      <c r="G17" s="43"/>
      <c r="H17" s="18"/>
      <c r="I17" s="179">
        <f t="shared" si="1"/>
        <v>0</v>
      </c>
      <c r="J17" s="254"/>
      <c r="K17" s="254"/>
      <c r="L17" s="254"/>
      <c r="M17" s="254"/>
      <c r="N17" s="254"/>
      <c r="O17" s="6"/>
      <c r="P17" s="6"/>
      <c r="Q17" s="6"/>
      <c r="R17" s="6"/>
      <c r="S17" s="6"/>
      <c r="T17" s="6"/>
      <c r="U17" s="6"/>
      <c r="V17" s="6"/>
      <c r="W17" s="6"/>
      <c r="X17" s="6"/>
      <c r="Y17" s="6"/>
      <c r="Z17" s="6"/>
    </row>
    <row r="18" spans="1:26" ht="21.75" customHeight="1">
      <c r="A18" s="476"/>
      <c r="B18" s="472"/>
      <c r="C18" s="34"/>
      <c r="D18" s="19"/>
      <c r="E18" s="11"/>
      <c r="F18" s="263">
        <f t="shared" si="0"/>
        <v>0</v>
      </c>
      <c r="G18" s="34"/>
      <c r="H18" s="16"/>
      <c r="I18" s="182">
        <f t="shared" si="1"/>
        <v>0</v>
      </c>
      <c r="J18" s="254"/>
      <c r="K18" s="254"/>
      <c r="L18" s="254"/>
      <c r="M18" s="254"/>
      <c r="N18" s="254"/>
      <c r="O18" s="6"/>
      <c r="P18" s="6"/>
      <c r="Q18" s="6"/>
      <c r="R18" s="6"/>
      <c r="S18" s="6"/>
      <c r="T18" s="6"/>
      <c r="U18" s="6"/>
      <c r="V18" s="6"/>
      <c r="W18" s="6"/>
      <c r="X18" s="6"/>
      <c r="Y18" s="6"/>
      <c r="Z18" s="6"/>
    </row>
    <row r="19" spans="1:26" ht="15.75" customHeight="1" thickBot="1">
      <c r="A19" s="46"/>
      <c r="B19" s="47"/>
      <c r="C19" s="467" t="s">
        <v>122</v>
      </c>
      <c r="D19" s="468"/>
      <c r="E19" s="468"/>
      <c r="F19" s="25">
        <f>SUM(F6:F18)</f>
        <v>0</v>
      </c>
      <c r="G19" s="467" t="s">
        <v>123</v>
      </c>
      <c r="H19" s="468"/>
      <c r="I19" s="25">
        <f>SUM(I6:I18)</f>
        <v>0</v>
      </c>
      <c r="J19" s="255"/>
      <c r="K19" s="255"/>
      <c r="L19" s="255"/>
      <c r="M19" s="255"/>
      <c r="N19" s="255"/>
      <c r="O19" s="7"/>
      <c r="P19" s="7"/>
      <c r="Q19" s="7"/>
      <c r="R19" s="7"/>
      <c r="S19" s="7"/>
      <c r="T19" s="7"/>
      <c r="U19" s="7"/>
      <c r="V19" s="7"/>
      <c r="W19" s="7"/>
      <c r="X19" s="7"/>
      <c r="Y19" s="7"/>
      <c r="Z19" s="7"/>
    </row>
    <row r="20" spans="1:26" ht="20.149999999999999" customHeight="1" thickBot="1">
      <c r="A20" s="469" t="s">
        <v>125</v>
      </c>
      <c r="B20" s="470"/>
      <c r="C20" s="470"/>
      <c r="D20" s="470"/>
      <c r="E20" s="470"/>
      <c r="F20" s="470"/>
      <c r="G20" s="470"/>
      <c r="H20" s="470"/>
      <c r="I20" s="26">
        <f>SUM(I19,F19)</f>
        <v>0</v>
      </c>
      <c r="J20" s="255"/>
      <c r="K20" s="255"/>
      <c r="L20" s="255"/>
      <c r="M20" s="255"/>
      <c r="N20" s="255"/>
      <c r="O20" s="7"/>
      <c r="P20" s="7"/>
      <c r="Q20" s="7"/>
      <c r="R20" s="7"/>
      <c r="S20" s="7"/>
      <c r="T20" s="7"/>
      <c r="U20" s="7"/>
      <c r="V20" s="7"/>
      <c r="W20" s="7"/>
      <c r="X20" s="7"/>
      <c r="Y20" s="7"/>
      <c r="Z20" s="7"/>
    </row>
    <row r="21" spans="1:26" ht="36" customHeight="1" thickBot="1">
      <c r="A21" s="477" t="s">
        <v>162</v>
      </c>
      <c r="B21" s="478"/>
      <c r="C21" s="478"/>
      <c r="D21" s="478"/>
      <c r="E21" s="478"/>
      <c r="F21" s="478"/>
      <c r="G21" s="478"/>
      <c r="H21" s="478"/>
      <c r="I21" s="479"/>
      <c r="J21" s="255"/>
      <c r="K21" s="255"/>
      <c r="L21" s="255"/>
      <c r="M21" s="255"/>
      <c r="N21" s="255"/>
      <c r="O21" s="7"/>
      <c r="P21" s="7"/>
      <c r="Q21" s="7"/>
      <c r="R21" s="7"/>
      <c r="S21" s="7"/>
      <c r="T21" s="7"/>
      <c r="U21" s="7"/>
      <c r="V21" s="7"/>
      <c r="W21" s="7"/>
      <c r="X21" s="7"/>
      <c r="Y21" s="7"/>
      <c r="Z21" s="7"/>
    </row>
    <row r="22" spans="1:26" ht="15.5">
      <c r="A22" s="452" t="s">
        <v>93</v>
      </c>
      <c r="B22" s="453"/>
      <c r="C22" s="390" t="s">
        <v>91</v>
      </c>
      <c r="D22" s="382"/>
      <c r="E22" s="382"/>
      <c r="F22" s="383"/>
      <c r="G22" s="381" t="s">
        <v>92</v>
      </c>
      <c r="H22" s="382"/>
      <c r="I22" s="383"/>
      <c r="J22" s="256"/>
      <c r="K22" s="256"/>
      <c r="L22" s="256"/>
      <c r="M22" s="256"/>
      <c r="N22" s="256"/>
      <c r="O22" s="8"/>
      <c r="P22" s="8"/>
      <c r="Q22" s="8"/>
      <c r="R22" s="8"/>
      <c r="S22" s="8"/>
      <c r="T22" s="8"/>
      <c r="U22" s="8"/>
      <c r="V22" s="8"/>
      <c r="W22" s="8"/>
      <c r="X22" s="8"/>
      <c r="Y22" s="8"/>
      <c r="Z22" s="8"/>
    </row>
    <row r="23" spans="1:26" ht="15.75" customHeight="1" thickBot="1">
      <c r="A23" s="454"/>
      <c r="B23" s="455"/>
      <c r="C23" s="37" t="s">
        <v>129</v>
      </c>
      <c r="D23" s="27" t="s">
        <v>95</v>
      </c>
      <c r="E23" s="28" t="s">
        <v>61</v>
      </c>
      <c r="F23" s="38" t="s">
        <v>79</v>
      </c>
      <c r="G23" s="44" t="s">
        <v>96</v>
      </c>
      <c r="H23" s="30" t="s">
        <v>85</v>
      </c>
      <c r="I23" s="31" t="s">
        <v>79</v>
      </c>
      <c r="J23" s="256"/>
      <c r="K23" s="256"/>
      <c r="L23" s="256"/>
      <c r="M23" s="256"/>
      <c r="N23" s="256"/>
      <c r="O23" s="8"/>
      <c r="P23" s="8"/>
      <c r="Q23" s="8"/>
      <c r="R23" s="8"/>
      <c r="S23" s="8"/>
      <c r="T23" s="8"/>
      <c r="U23" s="8"/>
      <c r="V23" s="8"/>
      <c r="W23" s="8"/>
      <c r="X23" s="8"/>
      <c r="Y23" s="8"/>
      <c r="Z23" s="8"/>
    </row>
    <row r="24" spans="1:26" ht="21.75" customHeight="1">
      <c r="A24" s="471"/>
      <c r="B24" s="472"/>
      <c r="C24" s="39">
        <v>1</v>
      </c>
      <c r="D24" s="20"/>
      <c r="E24" s="12">
        <v>0</v>
      </c>
      <c r="F24" s="40">
        <f t="shared" ref="F24:F36" si="2">C24*E24</f>
        <v>0</v>
      </c>
      <c r="G24" s="39">
        <v>1</v>
      </c>
      <c r="H24" s="12">
        <v>0</v>
      </c>
      <c r="I24" s="264">
        <f>G24*H24</f>
        <v>0</v>
      </c>
      <c r="J24" s="252"/>
      <c r="K24" s="252"/>
      <c r="L24" s="252"/>
      <c r="M24" s="252"/>
      <c r="N24" s="252"/>
    </row>
    <row r="25" spans="1:26" ht="21.75" customHeight="1">
      <c r="A25" s="471"/>
      <c r="B25" s="472"/>
      <c r="C25" s="39"/>
      <c r="D25" s="20"/>
      <c r="E25" s="12"/>
      <c r="F25" s="40">
        <f t="shared" si="2"/>
        <v>0</v>
      </c>
      <c r="G25" s="39"/>
      <c r="H25" s="12"/>
      <c r="I25" s="206">
        <f t="shared" ref="I25:I36" si="3">G25*H25</f>
        <v>0</v>
      </c>
      <c r="J25" s="252"/>
      <c r="K25" s="252"/>
      <c r="L25" s="252"/>
      <c r="M25" s="252"/>
      <c r="N25" s="252"/>
    </row>
    <row r="26" spans="1:26" ht="21.75" customHeight="1">
      <c r="A26" s="471"/>
      <c r="B26" s="472"/>
      <c r="C26" s="39"/>
      <c r="D26" s="20"/>
      <c r="E26" s="12"/>
      <c r="F26" s="40">
        <f t="shared" si="2"/>
        <v>0</v>
      </c>
      <c r="G26" s="39"/>
      <c r="H26" s="12"/>
      <c r="I26" s="206">
        <f t="shared" si="3"/>
        <v>0</v>
      </c>
      <c r="J26" s="252"/>
      <c r="K26" s="252"/>
      <c r="L26" s="252"/>
      <c r="M26" s="252"/>
      <c r="N26" s="252"/>
    </row>
    <row r="27" spans="1:26" ht="21.75" customHeight="1">
      <c r="A27" s="471"/>
      <c r="B27" s="472"/>
      <c r="C27" s="39"/>
      <c r="D27" s="20"/>
      <c r="E27" s="12"/>
      <c r="F27" s="40">
        <f t="shared" si="2"/>
        <v>0</v>
      </c>
      <c r="G27" s="39"/>
      <c r="H27" s="12"/>
      <c r="I27" s="206">
        <f t="shared" si="3"/>
        <v>0</v>
      </c>
      <c r="J27" s="252"/>
      <c r="K27" s="252"/>
      <c r="L27" s="252"/>
      <c r="M27" s="252"/>
      <c r="N27" s="252"/>
    </row>
    <row r="28" spans="1:26" ht="21.75" customHeight="1">
      <c r="A28" s="471"/>
      <c r="B28" s="472"/>
      <c r="C28" s="39"/>
      <c r="D28" s="20"/>
      <c r="E28" s="12"/>
      <c r="F28" s="40">
        <f t="shared" si="2"/>
        <v>0</v>
      </c>
      <c r="G28" s="39"/>
      <c r="H28" s="12"/>
      <c r="I28" s="206">
        <f t="shared" si="3"/>
        <v>0</v>
      </c>
      <c r="J28" s="252"/>
      <c r="K28" s="252"/>
      <c r="L28" s="252"/>
      <c r="M28" s="252"/>
      <c r="N28" s="252"/>
    </row>
    <row r="29" spans="1:26" ht="21.75" customHeight="1">
      <c r="A29" s="471"/>
      <c r="B29" s="472"/>
      <c r="C29" s="39"/>
      <c r="D29" s="20"/>
      <c r="E29" s="12"/>
      <c r="F29" s="40">
        <f t="shared" si="2"/>
        <v>0</v>
      </c>
      <c r="G29" s="39"/>
      <c r="H29" s="12"/>
      <c r="I29" s="206">
        <f t="shared" si="3"/>
        <v>0</v>
      </c>
      <c r="J29" s="252"/>
      <c r="K29" s="252"/>
      <c r="L29" s="252"/>
      <c r="M29" s="252"/>
      <c r="N29" s="252"/>
    </row>
    <row r="30" spans="1:26" ht="21.75" customHeight="1">
      <c r="A30" s="471"/>
      <c r="B30" s="472"/>
      <c r="C30" s="39"/>
      <c r="D30" s="20"/>
      <c r="E30" s="12"/>
      <c r="F30" s="40">
        <f t="shared" si="2"/>
        <v>0</v>
      </c>
      <c r="G30" s="39"/>
      <c r="H30" s="12"/>
      <c r="I30" s="206">
        <f t="shared" si="3"/>
        <v>0</v>
      </c>
      <c r="J30" s="252"/>
      <c r="K30" s="252"/>
      <c r="L30" s="252"/>
      <c r="M30" s="252"/>
      <c r="N30" s="252"/>
    </row>
    <row r="31" spans="1:26" ht="21.75" customHeight="1">
      <c r="A31" s="471"/>
      <c r="B31" s="472"/>
      <c r="C31" s="39"/>
      <c r="D31" s="20"/>
      <c r="E31" s="12"/>
      <c r="F31" s="40">
        <f t="shared" si="2"/>
        <v>0</v>
      </c>
      <c r="G31" s="39"/>
      <c r="H31" s="12"/>
      <c r="I31" s="206">
        <f t="shared" si="3"/>
        <v>0</v>
      </c>
      <c r="J31" s="252"/>
      <c r="K31" s="252"/>
      <c r="L31" s="252"/>
      <c r="M31" s="252"/>
      <c r="N31" s="252"/>
    </row>
    <row r="32" spans="1:26" ht="21.75" customHeight="1">
      <c r="A32" s="471"/>
      <c r="B32" s="472"/>
      <c r="C32" s="39"/>
      <c r="D32" s="20"/>
      <c r="E32" s="12"/>
      <c r="F32" s="40">
        <f t="shared" si="2"/>
        <v>0</v>
      </c>
      <c r="G32" s="39"/>
      <c r="H32" s="12"/>
      <c r="I32" s="206">
        <f t="shared" si="3"/>
        <v>0</v>
      </c>
      <c r="J32" s="252"/>
      <c r="K32" s="252"/>
      <c r="L32" s="252"/>
      <c r="M32" s="252"/>
      <c r="N32" s="252"/>
    </row>
    <row r="33" spans="1:14" ht="21.75" customHeight="1">
      <c r="A33" s="471"/>
      <c r="B33" s="472"/>
      <c r="C33" s="39"/>
      <c r="D33" s="20"/>
      <c r="E33" s="12"/>
      <c r="F33" s="40">
        <f t="shared" si="2"/>
        <v>0</v>
      </c>
      <c r="G33" s="39"/>
      <c r="H33" s="12"/>
      <c r="I33" s="206">
        <f t="shared" si="3"/>
        <v>0</v>
      </c>
      <c r="J33" s="252"/>
      <c r="K33" s="252"/>
      <c r="L33" s="252"/>
      <c r="M33" s="252"/>
      <c r="N33" s="252"/>
    </row>
    <row r="34" spans="1:14" ht="21.75" customHeight="1">
      <c r="A34" s="471"/>
      <c r="B34" s="472"/>
      <c r="C34" s="39"/>
      <c r="D34" s="20"/>
      <c r="E34" s="12"/>
      <c r="F34" s="40">
        <f t="shared" si="2"/>
        <v>0</v>
      </c>
      <c r="G34" s="39"/>
      <c r="H34" s="12"/>
      <c r="I34" s="206">
        <f t="shared" si="3"/>
        <v>0</v>
      </c>
      <c r="J34" s="252"/>
      <c r="K34" s="252"/>
      <c r="L34" s="252"/>
      <c r="M34" s="252"/>
      <c r="N34" s="252"/>
    </row>
    <row r="35" spans="1:14" ht="21.75" customHeight="1">
      <c r="A35" s="471"/>
      <c r="B35" s="472"/>
      <c r="C35" s="39"/>
      <c r="D35" s="20"/>
      <c r="E35" s="12"/>
      <c r="F35" s="40">
        <f t="shared" si="2"/>
        <v>0</v>
      </c>
      <c r="G35" s="39"/>
      <c r="H35" s="12"/>
      <c r="I35" s="206">
        <f t="shared" si="3"/>
        <v>0</v>
      </c>
      <c r="J35" s="252"/>
      <c r="K35" s="252"/>
      <c r="L35" s="252"/>
      <c r="M35" s="252"/>
      <c r="N35" s="252"/>
    </row>
    <row r="36" spans="1:14" ht="21.75" customHeight="1">
      <c r="A36" s="471"/>
      <c r="B36" s="472"/>
      <c r="C36" s="41"/>
      <c r="D36" s="21"/>
      <c r="E36" s="13"/>
      <c r="F36" s="42">
        <f t="shared" si="2"/>
        <v>0</v>
      </c>
      <c r="G36" s="41"/>
      <c r="H36" s="13"/>
      <c r="I36" s="265">
        <f t="shared" si="3"/>
        <v>0</v>
      </c>
      <c r="J36" s="252"/>
      <c r="K36" s="252"/>
      <c r="L36" s="252"/>
      <c r="M36" s="252"/>
      <c r="N36" s="252"/>
    </row>
    <row r="37" spans="1:14" ht="15.75" customHeight="1" thickBot="1">
      <c r="A37" s="46"/>
      <c r="B37" s="47"/>
      <c r="C37" s="473" t="s">
        <v>122</v>
      </c>
      <c r="D37" s="474"/>
      <c r="E37" s="475"/>
      <c r="F37" s="266">
        <f>SUM(F24:F36)</f>
        <v>0</v>
      </c>
      <c r="G37" s="473" t="s">
        <v>123</v>
      </c>
      <c r="H37" s="475"/>
      <c r="I37" s="266">
        <f>SUM(I24:I36)</f>
        <v>0</v>
      </c>
      <c r="J37" s="252"/>
      <c r="K37" s="252"/>
      <c r="L37" s="252"/>
      <c r="M37" s="252"/>
      <c r="N37" s="252"/>
    </row>
    <row r="38" spans="1:14" ht="20.149999999999999" customHeight="1" thickBot="1">
      <c r="A38" s="469" t="s">
        <v>124</v>
      </c>
      <c r="B38" s="470"/>
      <c r="C38" s="470"/>
      <c r="D38" s="470"/>
      <c r="E38" s="470"/>
      <c r="F38" s="470"/>
      <c r="G38" s="470"/>
      <c r="H38" s="470"/>
      <c r="I38" s="267">
        <f>SUM(I37,F37)</f>
        <v>0</v>
      </c>
      <c r="J38" s="252"/>
      <c r="K38" s="252"/>
      <c r="L38" s="252"/>
      <c r="M38" s="252"/>
      <c r="N38" s="252"/>
    </row>
    <row r="39" spans="1:14" ht="15.75" customHeight="1">
      <c r="A39" s="252"/>
      <c r="B39" s="252"/>
      <c r="C39" s="252"/>
      <c r="D39" s="252"/>
      <c r="E39" s="257"/>
      <c r="F39" s="252"/>
      <c r="G39" s="252"/>
      <c r="H39" s="252"/>
      <c r="I39" s="252"/>
      <c r="J39" s="252"/>
      <c r="K39" s="252"/>
      <c r="L39" s="252"/>
      <c r="M39" s="252"/>
      <c r="N39" s="252"/>
    </row>
    <row r="40" spans="1:14" ht="15.75" customHeight="1">
      <c r="A40" s="252"/>
      <c r="B40" s="252"/>
      <c r="C40" s="252"/>
      <c r="D40" s="252"/>
      <c r="E40" s="257"/>
      <c r="F40" s="252"/>
      <c r="G40" s="252"/>
      <c r="H40" s="252"/>
      <c r="I40" s="252"/>
      <c r="J40" s="252"/>
      <c r="K40" s="252"/>
      <c r="L40" s="252"/>
      <c r="M40" s="252"/>
      <c r="N40" s="252"/>
    </row>
    <row r="41" spans="1:14" ht="15.75" customHeight="1">
      <c r="A41" s="252"/>
      <c r="B41" s="252"/>
      <c r="C41" s="252"/>
      <c r="D41" s="252"/>
      <c r="E41" s="257"/>
      <c r="F41" s="252"/>
      <c r="G41" s="252"/>
      <c r="H41" s="252"/>
      <c r="I41" s="252"/>
      <c r="J41" s="252"/>
      <c r="K41" s="252"/>
      <c r="L41" s="252"/>
      <c r="M41" s="252"/>
      <c r="N41" s="252"/>
    </row>
    <row r="42" spans="1:14" ht="15.75" customHeight="1">
      <c r="A42" s="252"/>
      <c r="B42" s="252"/>
      <c r="C42" s="252"/>
      <c r="D42" s="252"/>
      <c r="E42" s="257"/>
      <c r="F42" s="252"/>
      <c r="G42" s="252"/>
      <c r="H42" s="252"/>
      <c r="I42" s="252"/>
      <c r="J42" s="252"/>
      <c r="K42" s="252"/>
      <c r="L42" s="252"/>
      <c r="M42" s="252"/>
      <c r="N42" s="252"/>
    </row>
    <row r="43" spans="1:14" ht="15.75" customHeight="1">
      <c r="A43" s="252"/>
      <c r="B43" s="252"/>
      <c r="C43" s="252"/>
      <c r="D43" s="252"/>
      <c r="E43" s="257"/>
      <c r="F43" s="252"/>
      <c r="G43" s="252"/>
      <c r="H43" s="252"/>
      <c r="I43" s="252"/>
      <c r="J43" s="252"/>
      <c r="K43" s="252"/>
      <c r="L43" s="252"/>
      <c r="M43" s="252"/>
      <c r="N43" s="252"/>
    </row>
    <row r="44" spans="1:14" ht="15.75" customHeight="1">
      <c r="A44" s="252"/>
      <c r="B44" s="252"/>
      <c r="C44" s="252"/>
      <c r="D44" s="252"/>
      <c r="E44" s="257"/>
      <c r="F44" s="252"/>
      <c r="G44" s="252"/>
      <c r="H44" s="252"/>
      <c r="I44" s="252"/>
      <c r="J44" s="252"/>
      <c r="K44" s="252"/>
      <c r="L44" s="252"/>
      <c r="M44" s="252"/>
      <c r="N44" s="252"/>
    </row>
    <row r="45" spans="1:14" ht="15.75" customHeight="1">
      <c r="A45" s="252"/>
      <c r="B45" s="252"/>
      <c r="C45" s="252"/>
      <c r="D45" s="252"/>
      <c r="E45" s="257"/>
      <c r="F45" s="252"/>
      <c r="G45" s="252"/>
      <c r="H45" s="252"/>
      <c r="I45" s="252"/>
      <c r="J45" s="252"/>
      <c r="K45" s="252"/>
      <c r="L45" s="252"/>
      <c r="M45" s="252"/>
      <c r="N45" s="252"/>
    </row>
    <row r="46" spans="1:14" ht="15.75" customHeight="1">
      <c r="E46" s="9"/>
    </row>
    <row r="47" spans="1:14" ht="15.75" customHeight="1">
      <c r="E47" s="9"/>
    </row>
    <row r="48" spans="1:14" ht="15.75" customHeight="1">
      <c r="E48" s="9"/>
    </row>
    <row r="49" spans="5:5" ht="15.75" customHeight="1">
      <c r="E49" s="9"/>
    </row>
    <row r="50" spans="5:5" ht="15.75" customHeight="1">
      <c r="E50" s="9"/>
    </row>
    <row r="51" spans="5:5" ht="15.75" customHeight="1">
      <c r="E51" s="9"/>
    </row>
    <row r="52" spans="5:5" ht="15.75" customHeight="1">
      <c r="E52" s="9"/>
    </row>
    <row r="53" spans="5:5" ht="15.75" customHeight="1">
      <c r="E53" s="9"/>
    </row>
    <row r="54" spans="5:5" ht="15.75" customHeight="1">
      <c r="E54" s="9"/>
    </row>
    <row r="55" spans="5:5" ht="15.75" customHeight="1">
      <c r="E55" s="9"/>
    </row>
    <row r="56" spans="5:5" ht="15.75" customHeight="1">
      <c r="E56" s="9"/>
    </row>
    <row r="57" spans="5:5" ht="15.75" customHeight="1">
      <c r="E57" s="9"/>
    </row>
    <row r="58" spans="5:5" ht="15.75" customHeight="1">
      <c r="E58" s="9"/>
    </row>
    <row r="59" spans="5:5" ht="15.75" customHeight="1">
      <c r="E59" s="9"/>
    </row>
    <row r="60" spans="5:5" ht="15.75" customHeight="1">
      <c r="E60" s="9"/>
    </row>
    <row r="61" spans="5:5" ht="15.75" customHeight="1">
      <c r="E61" s="9"/>
    </row>
    <row r="62" spans="5:5" ht="15.75" customHeight="1">
      <c r="E62" s="9"/>
    </row>
    <row r="63" spans="5:5" ht="15.75" customHeight="1">
      <c r="E63" s="9"/>
    </row>
    <row r="64" spans="5: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36:B36"/>
    <mergeCell ref="C37:E37"/>
    <mergeCell ref="G37:H37"/>
    <mergeCell ref="A38:H38"/>
    <mergeCell ref="A30:B30"/>
    <mergeCell ref="A31:B31"/>
    <mergeCell ref="A32:B32"/>
    <mergeCell ref="A33:B33"/>
    <mergeCell ref="A34:B34"/>
    <mergeCell ref="A35:B35"/>
    <mergeCell ref="A29:B29"/>
    <mergeCell ref="A18:B18"/>
    <mergeCell ref="C19:E19"/>
    <mergeCell ref="G19:H19"/>
    <mergeCell ref="A20:H20"/>
    <mergeCell ref="A21:I21"/>
    <mergeCell ref="A22:B23"/>
    <mergeCell ref="C22:F22"/>
    <mergeCell ref="G22:I22"/>
    <mergeCell ref="A24:B24"/>
    <mergeCell ref="A25:B25"/>
    <mergeCell ref="A26:B26"/>
    <mergeCell ref="A27:B27"/>
    <mergeCell ref="A28:B28"/>
    <mergeCell ref="A17:B17"/>
    <mergeCell ref="A6:B6"/>
    <mergeCell ref="A7:B7"/>
    <mergeCell ref="A8:B8"/>
    <mergeCell ref="A9:B9"/>
    <mergeCell ref="A10:B10"/>
    <mergeCell ref="A11:B11"/>
    <mergeCell ref="A12:B12"/>
    <mergeCell ref="A13:B13"/>
    <mergeCell ref="A14:B14"/>
    <mergeCell ref="A15:B15"/>
    <mergeCell ref="A16:B16"/>
    <mergeCell ref="A3:I3"/>
    <mergeCell ref="A4:B5"/>
    <mergeCell ref="C4:F4"/>
    <mergeCell ref="G4:I4"/>
    <mergeCell ref="A1:F2"/>
  </mergeCells>
  <conditionalFormatting sqref="G2:H2">
    <cfRule type="expression" dxfId="19" priority="1" stopIfTrue="1">
      <formula>"MM/DD/YY"</formula>
    </cfRule>
  </conditionalFormatting>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10241" r:id="rId4" name="CommandButton1">
          <controlPr defaultSize="0" autoLine="0" altText="Add A Row Command Button" r:id="rId5">
            <anchor moveWithCells="1">
              <from>
                <xdr:col>9</xdr:col>
                <xdr:colOff>304800</xdr:colOff>
                <xdr:row>16</xdr:row>
                <xdr:rowOff>266700</xdr:rowOff>
              </from>
              <to>
                <xdr:col>11</xdr:col>
                <xdr:colOff>431800</xdr:colOff>
                <xdr:row>18</xdr:row>
                <xdr:rowOff>6350</xdr:rowOff>
              </to>
            </anchor>
          </controlPr>
        </control>
      </mc:Choice>
      <mc:Fallback>
        <control shapeId="10241" r:id="rId4" name="CommandButton1"/>
      </mc:Fallback>
    </mc:AlternateContent>
  </control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320BA-4CC1-48F3-A3BE-BA3375A26E4D}">
  <sheetPr codeName="Sheet10">
    <pageSetUpPr fitToPage="1"/>
  </sheetPr>
  <dimension ref="A1:Z1003"/>
  <sheetViews>
    <sheetView topLeftCell="C6" zoomScaleNormal="10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thickTop="1">
      <c r="A1" s="483" t="s">
        <v>163</v>
      </c>
      <c r="B1" s="484"/>
      <c r="C1" s="484"/>
      <c r="D1" s="484"/>
      <c r="E1" s="484"/>
      <c r="F1" s="484"/>
      <c r="G1" s="268" t="s">
        <v>165</v>
      </c>
      <c r="H1" s="269"/>
      <c r="I1" s="270" t="s">
        <v>166</v>
      </c>
      <c r="J1" s="252"/>
      <c r="K1" s="252"/>
      <c r="L1" s="252"/>
      <c r="M1" s="252"/>
      <c r="N1" s="252"/>
    </row>
    <row r="2" spans="1:26" ht="15" customHeight="1" thickBot="1">
      <c r="A2" s="388"/>
      <c r="B2" s="389"/>
      <c r="C2" s="389"/>
      <c r="D2" s="389"/>
      <c r="E2" s="389"/>
      <c r="F2" s="389"/>
      <c r="G2" s="163" t="str">
        <f>IF(INPUT!C3=0,"",INPUT!C3)</f>
        <v>RLP # 36C248-25-R-0110 – EXHIBIT K</v>
      </c>
      <c r="H2" s="163"/>
      <c r="I2" s="164" t="str">
        <f>IF(INPUT!C10=0,"",INPUT!C10)</f>
        <v/>
      </c>
      <c r="J2" s="252"/>
      <c r="K2" s="252"/>
      <c r="L2" s="252"/>
      <c r="M2" s="252"/>
      <c r="N2" s="252"/>
    </row>
    <row r="3" spans="1:26" s="10" customFormat="1" ht="36" customHeight="1" thickBot="1">
      <c r="A3" s="480" t="s">
        <v>233</v>
      </c>
      <c r="B3" s="481"/>
      <c r="C3" s="481"/>
      <c r="D3" s="481"/>
      <c r="E3" s="481"/>
      <c r="F3" s="481"/>
      <c r="G3" s="481"/>
      <c r="H3" s="481"/>
      <c r="I3" s="482"/>
      <c r="J3" s="253"/>
      <c r="K3" s="253"/>
      <c r="L3" s="253"/>
      <c r="M3" s="253"/>
      <c r="N3" s="253"/>
    </row>
    <row r="4" spans="1:26" ht="15.5">
      <c r="A4" s="452" t="s">
        <v>93</v>
      </c>
      <c r="B4" s="453"/>
      <c r="C4" s="390" t="s">
        <v>91</v>
      </c>
      <c r="D4" s="382"/>
      <c r="E4" s="382"/>
      <c r="F4" s="383"/>
      <c r="G4" s="381" t="s">
        <v>92</v>
      </c>
      <c r="H4" s="382"/>
      <c r="I4" s="383"/>
      <c r="J4" s="252"/>
      <c r="K4" s="252"/>
      <c r="L4" s="252"/>
      <c r="M4" s="252"/>
      <c r="N4" s="252"/>
    </row>
    <row r="5" spans="1:26" ht="15.75" customHeight="1" thickBot="1">
      <c r="A5" s="454"/>
      <c r="B5" s="455"/>
      <c r="C5" s="37" t="s">
        <v>129</v>
      </c>
      <c r="D5" s="27" t="s">
        <v>95</v>
      </c>
      <c r="E5" s="28" t="s">
        <v>61</v>
      </c>
      <c r="F5" s="38" t="s">
        <v>79</v>
      </c>
      <c r="G5" s="44" t="s">
        <v>96</v>
      </c>
      <c r="H5" s="30" t="s">
        <v>85</v>
      </c>
      <c r="I5" s="31" t="s">
        <v>79</v>
      </c>
      <c r="J5" s="252"/>
      <c r="K5" s="252"/>
      <c r="L5" s="252"/>
      <c r="M5" s="252"/>
      <c r="N5" s="252"/>
    </row>
    <row r="6" spans="1:26" ht="21.75" customHeight="1">
      <c r="A6" s="476" t="s">
        <v>149</v>
      </c>
      <c r="B6" s="472"/>
      <c r="C6" s="34">
        <v>1</v>
      </c>
      <c r="D6" s="19" t="s">
        <v>148</v>
      </c>
      <c r="E6" s="11">
        <v>0</v>
      </c>
      <c r="F6" s="260">
        <f t="shared" ref="F6:F18" si="0">C6*E6</f>
        <v>0</v>
      </c>
      <c r="G6" s="34">
        <v>1</v>
      </c>
      <c r="H6" s="17">
        <v>0</v>
      </c>
      <c r="I6" s="261">
        <f t="shared" ref="I6:I18" si="1">G6*H6</f>
        <v>0</v>
      </c>
      <c r="J6" s="254"/>
      <c r="K6" s="254"/>
      <c r="L6" s="254"/>
      <c r="M6" s="254"/>
      <c r="N6" s="254"/>
      <c r="O6" s="6"/>
      <c r="P6" s="6"/>
      <c r="Q6" s="6"/>
      <c r="R6" s="6"/>
      <c r="S6" s="6"/>
      <c r="T6" s="6"/>
      <c r="U6" s="6"/>
      <c r="V6" s="6"/>
      <c r="W6" s="6"/>
      <c r="X6" s="6"/>
      <c r="Y6" s="6"/>
      <c r="Z6" s="6"/>
    </row>
    <row r="7" spans="1:26" ht="21.75" customHeight="1">
      <c r="A7" s="476"/>
      <c r="B7" s="472"/>
      <c r="C7" s="34"/>
      <c r="D7" s="19"/>
      <c r="E7" s="11"/>
      <c r="F7" s="260">
        <f>C7*E7</f>
        <v>0</v>
      </c>
      <c r="G7" s="43"/>
      <c r="H7" s="18"/>
      <c r="I7" s="179">
        <f t="shared" si="1"/>
        <v>0</v>
      </c>
      <c r="J7" s="254"/>
      <c r="K7" s="254"/>
      <c r="L7" s="254"/>
      <c r="M7" s="254"/>
      <c r="N7" s="254"/>
      <c r="O7" s="6"/>
      <c r="P7" s="6"/>
      <c r="Q7" s="6"/>
      <c r="R7" s="6"/>
      <c r="S7" s="6"/>
      <c r="T7" s="6"/>
      <c r="U7" s="6"/>
      <c r="V7" s="6"/>
      <c r="W7" s="6"/>
      <c r="X7" s="6"/>
      <c r="Y7" s="6"/>
      <c r="Z7" s="6"/>
    </row>
    <row r="8" spans="1:26" ht="21.75" customHeight="1">
      <c r="A8" s="476"/>
      <c r="B8" s="472"/>
      <c r="C8" s="34"/>
      <c r="D8" s="19"/>
      <c r="E8" s="11"/>
      <c r="F8" s="262">
        <f t="shared" si="0"/>
        <v>0</v>
      </c>
      <c r="G8" s="43"/>
      <c r="H8" s="18"/>
      <c r="I8" s="179">
        <f t="shared" si="1"/>
        <v>0</v>
      </c>
      <c r="J8" s="254"/>
      <c r="K8" s="254"/>
      <c r="L8" s="254"/>
      <c r="M8" s="254"/>
      <c r="N8" s="254"/>
      <c r="O8" s="6"/>
      <c r="P8" s="6"/>
      <c r="Q8" s="6"/>
      <c r="R8" s="6"/>
      <c r="S8" s="6"/>
      <c r="T8" s="6"/>
      <c r="U8" s="6"/>
      <c r="V8" s="6"/>
      <c r="W8" s="6"/>
      <c r="X8" s="6"/>
      <c r="Y8" s="6"/>
      <c r="Z8" s="6"/>
    </row>
    <row r="9" spans="1:26" ht="21.75" customHeight="1">
      <c r="A9" s="476"/>
      <c r="B9" s="472"/>
      <c r="C9" s="34"/>
      <c r="D9" s="19"/>
      <c r="E9" s="11"/>
      <c r="F9" s="262">
        <f t="shared" si="0"/>
        <v>0</v>
      </c>
      <c r="G9" s="43"/>
      <c r="H9" s="18"/>
      <c r="I9" s="179">
        <f t="shared" si="1"/>
        <v>0</v>
      </c>
      <c r="J9" s="254"/>
      <c r="K9" s="254"/>
      <c r="L9" s="254"/>
      <c r="M9" s="254"/>
      <c r="N9" s="254"/>
      <c r="O9" s="6"/>
      <c r="P9" s="6"/>
      <c r="Q9" s="6"/>
      <c r="R9" s="6"/>
      <c r="S9" s="6"/>
      <c r="T9" s="6"/>
      <c r="U9" s="6"/>
      <c r="V9" s="6"/>
      <c r="W9" s="6"/>
      <c r="X9" s="6"/>
      <c r="Y9" s="6"/>
      <c r="Z9" s="6"/>
    </row>
    <row r="10" spans="1:26" ht="21.75" customHeight="1">
      <c r="A10" s="476"/>
      <c r="B10" s="472"/>
      <c r="C10" s="34"/>
      <c r="D10" s="19"/>
      <c r="E10" s="11"/>
      <c r="F10" s="260">
        <f t="shared" si="0"/>
        <v>0</v>
      </c>
      <c r="G10" s="43"/>
      <c r="H10" s="18"/>
      <c r="I10" s="179">
        <f t="shared" si="1"/>
        <v>0</v>
      </c>
      <c r="J10" s="254"/>
      <c r="K10" s="254"/>
      <c r="L10" s="254"/>
      <c r="M10" s="254"/>
      <c r="N10" s="254"/>
      <c r="O10" s="6"/>
      <c r="P10" s="6"/>
      <c r="Q10" s="6"/>
      <c r="R10" s="6"/>
      <c r="S10" s="6"/>
      <c r="T10" s="6"/>
      <c r="U10" s="6"/>
      <c r="V10" s="6"/>
      <c r="W10" s="6"/>
      <c r="X10" s="6"/>
      <c r="Y10" s="6"/>
      <c r="Z10" s="6"/>
    </row>
    <row r="11" spans="1:26" ht="21.75" customHeight="1">
      <c r="A11" s="476"/>
      <c r="B11" s="472"/>
      <c r="C11" s="34"/>
      <c r="D11" s="19"/>
      <c r="E11" s="11"/>
      <c r="F11" s="260">
        <f t="shared" si="0"/>
        <v>0</v>
      </c>
      <c r="G11" s="43"/>
      <c r="H11" s="18"/>
      <c r="I11" s="179">
        <f t="shared" si="1"/>
        <v>0</v>
      </c>
      <c r="J11" s="254"/>
      <c r="K11" s="254"/>
      <c r="L11" s="254"/>
      <c r="M11" s="254"/>
      <c r="N11" s="254"/>
      <c r="O11" s="6"/>
      <c r="P11" s="6"/>
      <c r="Q11" s="6"/>
      <c r="R11" s="6"/>
      <c r="S11" s="6"/>
      <c r="T11" s="6"/>
      <c r="U11" s="6"/>
      <c r="V11" s="6"/>
      <c r="W11" s="6"/>
      <c r="X11" s="6"/>
      <c r="Y11" s="6"/>
      <c r="Z11" s="6"/>
    </row>
    <row r="12" spans="1:26" ht="21.75" customHeight="1">
      <c r="A12" s="476"/>
      <c r="B12" s="472"/>
      <c r="C12" s="34"/>
      <c r="D12" s="19"/>
      <c r="E12" s="11"/>
      <c r="F12" s="260">
        <f t="shared" si="0"/>
        <v>0</v>
      </c>
      <c r="G12" s="43"/>
      <c r="H12" s="18"/>
      <c r="I12" s="179">
        <f t="shared" si="1"/>
        <v>0</v>
      </c>
      <c r="J12" s="254"/>
      <c r="K12" s="254"/>
      <c r="L12" s="254"/>
      <c r="M12" s="254"/>
      <c r="N12" s="254"/>
      <c r="O12" s="6"/>
      <c r="P12" s="6"/>
      <c r="Q12" s="6"/>
      <c r="R12" s="6"/>
      <c r="S12" s="6"/>
      <c r="T12" s="6"/>
      <c r="U12" s="6"/>
      <c r="V12" s="6"/>
      <c r="W12" s="6"/>
      <c r="X12" s="6"/>
      <c r="Y12" s="6"/>
      <c r="Z12" s="6"/>
    </row>
    <row r="13" spans="1:26" ht="21.75" customHeight="1">
      <c r="A13" s="476"/>
      <c r="B13" s="472"/>
      <c r="C13" s="34"/>
      <c r="D13" s="19"/>
      <c r="E13" s="11"/>
      <c r="F13" s="260">
        <f t="shared" si="0"/>
        <v>0</v>
      </c>
      <c r="G13" s="43"/>
      <c r="H13" s="18"/>
      <c r="I13" s="179">
        <f t="shared" si="1"/>
        <v>0</v>
      </c>
      <c r="J13" s="254"/>
      <c r="K13" s="254"/>
      <c r="L13" s="254"/>
      <c r="M13" s="254"/>
      <c r="N13" s="254"/>
      <c r="O13" s="6"/>
      <c r="P13" s="6"/>
      <c r="Q13" s="6"/>
      <c r="R13" s="6"/>
      <c r="S13" s="6"/>
      <c r="T13" s="6"/>
      <c r="U13" s="6"/>
      <c r="V13" s="6"/>
      <c r="W13" s="6"/>
      <c r="X13" s="6"/>
      <c r="Y13" s="6"/>
      <c r="Z13" s="6"/>
    </row>
    <row r="14" spans="1:26" ht="21.75" customHeight="1">
      <c r="A14" s="476"/>
      <c r="B14" s="472"/>
      <c r="C14" s="34"/>
      <c r="D14" s="19"/>
      <c r="E14" s="11"/>
      <c r="F14" s="260">
        <f t="shared" si="0"/>
        <v>0</v>
      </c>
      <c r="G14" s="43"/>
      <c r="H14" s="18"/>
      <c r="I14" s="179">
        <f t="shared" si="1"/>
        <v>0</v>
      </c>
      <c r="J14" s="254"/>
      <c r="K14" s="254"/>
      <c r="L14" s="254"/>
      <c r="M14" s="254"/>
      <c r="N14" s="254"/>
      <c r="O14" s="6"/>
      <c r="P14" s="6"/>
      <c r="Q14" s="6"/>
      <c r="R14" s="6"/>
      <c r="S14" s="6"/>
      <c r="T14" s="6"/>
      <c r="U14" s="6"/>
      <c r="V14" s="6"/>
      <c r="W14" s="6"/>
      <c r="X14" s="6"/>
      <c r="Y14" s="6"/>
      <c r="Z14" s="6"/>
    </row>
    <row r="15" spans="1:26" ht="21.75" customHeight="1">
      <c r="A15" s="476"/>
      <c r="B15" s="472"/>
      <c r="C15" s="34"/>
      <c r="D15" s="19"/>
      <c r="E15" s="11"/>
      <c r="F15" s="260">
        <f t="shared" si="0"/>
        <v>0</v>
      </c>
      <c r="G15" s="43"/>
      <c r="H15" s="18"/>
      <c r="I15" s="179">
        <f t="shared" si="1"/>
        <v>0</v>
      </c>
      <c r="J15" s="254"/>
      <c r="K15" s="254"/>
      <c r="L15" s="254"/>
      <c r="M15" s="254"/>
      <c r="N15" s="254"/>
      <c r="O15" s="6"/>
      <c r="P15" s="6"/>
      <c r="Q15" s="6"/>
      <c r="R15" s="6"/>
      <c r="S15" s="6"/>
      <c r="T15" s="6"/>
      <c r="U15" s="6"/>
      <c r="V15" s="6"/>
      <c r="W15" s="6"/>
      <c r="X15" s="6"/>
      <c r="Y15" s="6"/>
      <c r="Z15" s="6"/>
    </row>
    <row r="16" spans="1:26" ht="21.75" customHeight="1">
      <c r="A16" s="476"/>
      <c r="B16" s="472"/>
      <c r="C16" s="34"/>
      <c r="D16" s="19"/>
      <c r="E16" s="11"/>
      <c r="F16" s="260">
        <f t="shared" si="0"/>
        <v>0</v>
      </c>
      <c r="G16" s="43"/>
      <c r="H16" s="18"/>
      <c r="I16" s="179">
        <f t="shared" si="1"/>
        <v>0</v>
      </c>
      <c r="J16" s="254"/>
      <c r="K16" s="254"/>
      <c r="L16" s="254"/>
      <c r="M16" s="254"/>
      <c r="N16" s="254"/>
      <c r="O16" s="6"/>
      <c r="P16" s="6"/>
      <c r="Q16" s="6"/>
      <c r="R16" s="6"/>
      <c r="S16" s="6"/>
      <c r="T16" s="6"/>
      <c r="U16" s="6"/>
      <c r="V16" s="6"/>
      <c r="W16" s="6"/>
      <c r="X16" s="6"/>
      <c r="Y16" s="6"/>
      <c r="Z16" s="6"/>
    </row>
    <row r="17" spans="1:26" ht="21.75" customHeight="1">
      <c r="A17" s="476"/>
      <c r="B17" s="472"/>
      <c r="C17" s="34"/>
      <c r="D17" s="19"/>
      <c r="E17" s="11"/>
      <c r="F17" s="260">
        <f t="shared" si="0"/>
        <v>0</v>
      </c>
      <c r="G17" s="43"/>
      <c r="H17" s="18"/>
      <c r="I17" s="179">
        <f t="shared" si="1"/>
        <v>0</v>
      </c>
      <c r="J17" s="254"/>
      <c r="K17" s="254"/>
      <c r="L17" s="254"/>
      <c r="M17" s="254"/>
      <c r="N17" s="254"/>
      <c r="O17" s="6"/>
      <c r="P17" s="6"/>
      <c r="Q17" s="6"/>
      <c r="R17" s="6"/>
      <c r="S17" s="6"/>
      <c r="T17" s="6"/>
      <c r="U17" s="6"/>
      <c r="V17" s="6"/>
      <c r="W17" s="6"/>
      <c r="X17" s="6"/>
      <c r="Y17" s="6"/>
      <c r="Z17" s="6"/>
    </row>
    <row r="18" spans="1:26" ht="21.75" customHeight="1">
      <c r="A18" s="476"/>
      <c r="B18" s="472"/>
      <c r="C18" s="34"/>
      <c r="D18" s="19"/>
      <c r="E18" s="11"/>
      <c r="F18" s="263">
        <f t="shared" si="0"/>
        <v>0</v>
      </c>
      <c r="G18" s="34"/>
      <c r="H18" s="16"/>
      <c r="I18" s="182">
        <f t="shared" si="1"/>
        <v>0</v>
      </c>
      <c r="J18" s="254"/>
      <c r="K18" s="254"/>
      <c r="L18" s="254"/>
      <c r="M18" s="254"/>
      <c r="N18" s="254"/>
      <c r="O18" s="6"/>
      <c r="P18" s="6"/>
      <c r="Q18" s="6"/>
      <c r="R18" s="6"/>
      <c r="S18" s="6"/>
      <c r="T18" s="6"/>
      <c r="U18" s="6"/>
      <c r="V18" s="6"/>
      <c r="W18" s="6"/>
      <c r="X18" s="6"/>
      <c r="Y18" s="6"/>
      <c r="Z18" s="6"/>
    </row>
    <row r="19" spans="1:26" ht="15.75" customHeight="1" thickBot="1">
      <c r="A19" s="46"/>
      <c r="B19" s="47"/>
      <c r="C19" s="467" t="s">
        <v>122</v>
      </c>
      <c r="D19" s="468"/>
      <c r="E19" s="468"/>
      <c r="F19" s="25">
        <f>SUM(F6:F18)</f>
        <v>0</v>
      </c>
      <c r="G19" s="467" t="s">
        <v>123</v>
      </c>
      <c r="H19" s="468"/>
      <c r="I19" s="25">
        <f>SUM(I6:I18)</f>
        <v>0</v>
      </c>
      <c r="J19" s="255"/>
      <c r="K19" s="255"/>
      <c r="L19" s="255"/>
      <c r="M19" s="255"/>
      <c r="N19" s="255"/>
      <c r="O19" s="7"/>
      <c r="P19" s="7"/>
      <c r="Q19" s="7"/>
      <c r="R19" s="7"/>
      <c r="S19" s="7"/>
      <c r="T19" s="7"/>
      <c r="U19" s="7"/>
      <c r="V19" s="7"/>
      <c r="W19" s="7"/>
      <c r="X19" s="7"/>
      <c r="Y19" s="7"/>
      <c r="Z19" s="7"/>
    </row>
    <row r="20" spans="1:26" ht="20.149999999999999" customHeight="1" thickBot="1">
      <c r="A20" s="469" t="s">
        <v>125</v>
      </c>
      <c r="B20" s="470"/>
      <c r="C20" s="470"/>
      <c r="D20" s="470"/>
      <c r="E20" s="470"/>
      <c r="F20" s="470"/>
      <c r="G20" s="470"/>
      <c r="H20" s="470"/>
      <c r="I20" s="26">
        <f>SUM(I19,F19)</f>
        <v>0</v>
      </c>
      <c r="J20" s="255"/>
      <c r="K20" s="255"/>
      <c r="L20" s="255"/>
      <c r="M20" s="255"/>
      <c r="N20" s="255"/>
      <c r="O20" s="7"/>
      <c r="P20" s="7"/>
      <c r="Q20" s="7"/>
      <c r="R20" s="7"/>
      <c r="S20" s="7"/>
      <c r="T20" s="7"/>
      <c r="U20" s="7"/>
      <c r="V20" s="7"/>
      <c r="W20" s="7"/>
      <c r="X20" s="7"/>
      <c r="Y20" s="7"/>
      <c r="Z20" s="7"/>
    </row>
    <row r="21" spans="1:26" ht="36" customHeight="1" thickBot="1">
      <c r="A21" s="485" t="s">
        <v>234</v>
      </c>
      <c r="B21" s="486"/>
      <c r="C21" s="486"/>
      <c r="D21" s="486"/>
      <c r="E21" s="486"/>
      <c r="F21" s="486"/>
      <c r="G21" s="486"/>
      <c r="H21" s="486"/>
      <c r="I21" s="479"/>
      <c r="J21" s="255"/>
      <c r="K21" s="255"/>
      <c r="L21" s="255"/>
      <c r="M21" s="255"/>
      <c r="N21" s="255"/>
      <c r="O21" s="7"/>
      <c r="P21" s="7"/>
      <c r="Q21" s="7"/>
      <c r="R21" s="7"/>
      <c r="S21" s="7"/>
      <c r="T21" s="7"/>
      <c r="U21" s="7"/>
      <c r="V21" s="7"/>
      <c r="W21" s="7"/>
      <c r="X21" s="7"/>
      <c r="Y21" s="7"/>
      <c r="Z21" s="7"/>
    </row>
    <row r="22" spans="1:26" ht="15.5">
      <c r="A22" s="452" t="s">
        <v>93</v>
      </c>
      <c r="B22" s="453"/>
      <c r="C22" s="390" t="s">
        <v>91</v>
      </c>
      <c r="D22" s="382"/>
      <c r="E22" s="382"/>
      <c r="F22" s="383"/>
      <c r="G22" s="381" t="s">
        <v>92</v>
      </c>
      <c r="H22" s="382"/>
      <c r="I22" s="383"/>
      <c r="J22" s="256"/>
      <c r="K22" s="256"/>
      <c r="L22" s="256"/>
      <c r="M22" s="256"/>
      <c r="N22" s="256"/>
      <c r="O22" s="8"/>
      <c r="P22" s="8"/>
      <c r="Q22" s="8"/>
      <c r="R22" s="8"/>
      <c r="S22" s="8"/>
      <c r="T22" s="8"/>
      <c r="U22" s="8"/>
      <c r="V22" s="8"/>
      <c r="W22" s="8"/>
      <c r="X22" s="8"/>
      <c r="Y22" s="8"/>
      <c r="Z22" s="8"/>
    </row>
    <row r="23" spans="1:26" ht="15.75" customHeight="1" thickBot="1">
      <c r="A23" s="454"/>
      <c r="B23" s="455"/>
      <c r="C23" s="37" t="s">
        <v>129</v>
      </c>
      <c r="D23" s="27" t="s">
        <v>95</v>
      </c>
      <c r="E23" s="28" t="s">
        <v>61</v>
      </c>
      <c r="F23" s="38" t="s">
        <v>79</v>
      </c>
      <c r="G23" s="44" t="s">
        <v>96</v>
      </c>
      <c r="H23" s="30" t="s">
        <v>85</v>
      </c>
      <c r="I23" s="31" t="s">
        <v>79</v>
      </c>
      <c r="J23" s="256"/>
      <c r="K23" s="256"/>
      <c r="L23" s="256"/>
      <c r="M23" s="256"/>
      <c r="N23" s="256"/>
      <c r="O23" s="8"/>
      <c r="P23" s="8"/>
      <c r="Q23" s="8"/>
      <c r="R23" s="8"/>
      <c r="S23" s="8"/>
      <c r="T23" s="8"/>
      <c r="U23" s="8"/>
      <c r="V23" s="8"/>
      <c r="W23" s="8"/>
      <c r="X23" s="8"/>
      <c r="Y23" s="8"/>
      <c r="Z23" s="8"/>
    </row>
    <row r="24" spans="1:26" ht="21.75" customHeight="1">
      <c r="A24" s="471"/>
      <c r="B24" s="472"/>
      <c r="C24" s="39">
        <v>1</v>
      </c>
      <c r="D24" s="20"/>
      <c r="E24" s="12">
        <v>0</v>
      </c>
      <c r="F24" s="40">
        <f t="shared" ref="F24:F36" si="2">C24*E24</f>
        <v>0</v>
      </c>
      <c r="G24" s="39">
        <v>1</v>
      </c>
      <c r="H24" s="12">
        <v>0</v>
      </c>
      <c r="I24" s="264">
        <f>G24*H24</f>
        <v>0</v>
      </c>
      <c r="J24" s="252"/>
      <c r="K24" s="252"/>
      <c r="L24" s="252"/>
      <c r="M24" s="252"/>
      <c r="N24" s="252"/>
    </row>
    <row r="25" spans="1:26" ht="21.75" customHeight="1">
      <c r="A25" s="471"/>
      <c r="B25" s="472"/>
      <c r="C25" s="39"/>
      <c r="D25" s="20"/>
      <c r="E25" s="12"/>
      <c r="F25" s="40">
        <f t="shared" si="2"/>
        <v>0</v>
      </c>
      <c r="G25" s="39"/>
      <c r="H25" s="12"/>
      <c r="I25" s="206">
        <f t="shared" ref="I25:I36" si="3">G25*H25</f>
        <v>0</v>
      </c>
      <c r="J25" s="252"/>
      <c r="K25" s="252"/>
      <c r="L25" s="252"/>
      <c r="M25" s="252"/>
      <c r="N25" s="252"/>
    </row>
    <row r="26" spans="1:26" ht="21.75" customHeight="1">
      <c r="A26" s="471"/>
      <c r="B26" s="472"/>
      <c r="C26" s="39"/>
      <c r="D26" s="20"/>
      <c r="E26" s="12"/>
      <c r="F26" s="40">
        <f t="shared" si="2"/>
        <v>0</v>
      </c>
      <c r="G26" s="39"/>
      <c r="H26" s="12"/>
      <c r="I26" s="206">
        <f t="shared" si="3"/>
        <v>0</v>
      </c>
      <c r="J26" s="252"/>
      <c r="K26" s="252"/>
      <c r="L26" s="252"/>
      <c r="M26" s="252"/>
      <c r="N26" s="252"/>
    </row>
    <row r="27" spans="1:26" ht="21.75" customHeight="1">
      <c r="A27" s="471"/>
      <c r="B27" s="472"/>
      <c r="C27" s="39"/>
      <c r="D27" s="20"/>
      <c r="E27" s="12"/>
      <c r="F27" s="40">
        <f t="shared" si="2"/>
        <v>0</v>
      </c>
      <c r="G27" s="39"/>
      <c r="H27" s="12"/>
      <c r="I27" s="206">
        <f t="shared" si="3"/>
        <v>0</v>
      </c>
      <c r="J27" s="252"/>
      <c r="K27" s="252"/>
      <c r="L27" s="252"/>
      <c r="M27" s="252"/>
      <c r="N27" s="252"/>
    </row>
    <row r="28" spans="1:26" ht="21.75" customHeight="1">
      <c r="A28" s="471"/>
      <c r="B28" s="472"/>
      <c r="C28" s="39"/>
      <c r="D28" s="20"/>
      <c r="E28" s="12"/>
      <c r="F28" s="40">
        <f t="shared" si="2"/>
        <v>0</v>
      </c>
      <c r="G28" s="39"/>
      <c r="H28" s="12"/>
      <c r="I28" s="206">
        <f t="shared" si="3"/>
        <v>0</v>
      </c>
      <c r="J28" s="252"/>
      <c r="K28" s="252"/>
      <c r="L28" s="252"/>
      <c r="M28" s="252"/>
      <c r="N28" s="252"/>
    </row>
    <row r="29" spans="1:26" ht="21.75" customHeight="1">
      <c r="A29" s="471"/>
      <c r="B29" s="472"/>
      <c r="C29" s="39"/>
      <c r="D29" s="20"/>
      <c r="E29" s="12"/>
      <c r="F29" s="40">
        <f t="shared" si="2"/>
        <v>0</v>
      </c>
      <c r="G29" s="39"/>
      <c r="H29" s="12"/>
      <c r="I29" s="206">
        <f t="shared" si="3"/>
        <v>0</v>
      </c>
      <c r="J29" s="252"/>
      <c r="K29" s="252"/>
      <c r="L29" s="252"/>
      <c r="M29" s="252"/>
      <c r="N29" s="252"/>
    </row>
    <row r="30" spans="1:26" ht="21.75" customHeight="1">
      <c r="A30" s="471"/>
      <c r="B30" s="472"/>
      <c r="C30" s="39"/>
      <c r="D30" s="20"/>
      <c r="E30" s="12"/>
      <c r="F30" s="40">
        <f t="shared" si="2"/>
        <v>0</v>
      </c>
      <c r="G30" s="39"/>
      <c r="H30" s="12"/>
      <c r="I30" s="206">
        <f t="shared" si="3"/>
        <v>0</v>
      </c>
      <c r="J30" s="252"/>
      <c r="K30" s="252"/>
      <c r="L30" s="252"/>
      <c r="M30" s="252"/>
      <c r="N30" s="252"/>
    </row>
    <row r="31" spans="1:26" ht="21.75" customHeight="1">
      <c r="A31" s="471"/>
      <c r="B31" s="472"/>
      <c r="C31" s="39"/>
      <c r="D31" s="20"/>
      <c r="E31" s="12"/>
      <c r="F31" s="40">
        <f t="shared" si="2"/>
        <v>0</v>
      </c>
      <c r="G31" s="39"/>
      <c r="H31" s="12"/>
      <c r="I31" s="206">
        <f t="shared" si="3"/>
        <v>0</v>
      </c>
      <c r="J31" s="252"/>
      <c r="K31" s="252"/>
      <c r="L31" s="252"/>
      <c r="M31" s="252"/>
      <c r="N31" s="252"/>
    </row>
    <row r="32" spans="1:26" ht="21.75" customHeight="1">
      <c r="A32" s="471"/>
      <c r="B32" s="472"/>
      <c r="C32" s="39"/>
      <c r="D32" s="20"/>
      <c r="E32" s="12"/>
      <c r="F32" s="40">
        <f t="shared" si="2"/>
        <v>0</v>
      </c>
      <c r="G32" s="39"/>
      <c r="H32" s="12"/>
      <c r="I32" s="206">
        <f t="shared" si="3"/>
        <v>0</v>
      </c>
      <c r="J32" s="252"/>
      <c r="K32" s="252"/>
      <c r="L32" s="252"/>
      <c r="M32" s="252"/>
      <c r="N32" s="252"/>
    </row>
    <row r="33" spans="1:14" ht="21.75" customHeight="1">
      <c r="A33" s="471"/>
      <c r="B33" s="472"/>
      <c r="C33" s="39"/>
      <c r="D33" s="20"/>
      <c r="E33" s="12"/>
      <c r="F33" s="40">
        <f t="shared" si="2"/>
        <v>0</v>
      </c>
      <c r="G33" s="39"/>
      <c r="H33" s="12"/>
      <c r="I33" s="206">
        <f t="shared" si="3"/>
        <v>0</v>
      </c>
      <c r="J33" s="252"/>
      <c r="K33" s="252"/>
      <c r="L33" s="252"/>
      <c r="M33" s="252"/>
      <c r="N33" s="252"/>
    </row>
    <row r="34" spans="1:14" ht="21.75" customHeight="1">
      <c r="A34" s="471"/>
      <c r="B34" s="472"/>
      <c r="C34" s="39"/>
      <c r="D34" s="20"/>
      <c r="E34" s="12"/>
      <c r="F34" s="40">
        <f t="shared" si="2"/>
        <v>0</v>
      </c>
      <c r="G34" s="39"/>
      <c r="H34" s="12"/>
      <c r="I34" s="206">
        <f t="shared" si="3"/>
        <v>0</v>
      </c>
      <c r="J34" s="252"/>
      <c r="K34" s="252"/>
      <c r="L34" s="252"/>
      <c r="M34" s="252"/>
      <c r="N34" s="252"/>
    </row>
    <row r="35" spans="1:14" ht="21.75" customHeight="1">
      <c r="A35" s="471"/>
      <c r="B35" s="472"/>
      <c r="C35" s="39"/>
      <c r="D35" s="20"/>
      <c r="E35" s="12"/>
      <c r="F35" s="40">
        <f t="shared" si="2"/>
        <v>0</v>
      </c>
      <c r="G35" s="39"/>
      <c r="H35" s="12"/>
      <c r="I35" s="206">
        <f t="shared" si="3"/>
        <v>0</v>
      </c>
      <c r="J35" s="252"/>
      <c r="K35" s="252"/>
      <c r="L35" s="252"/>
      <c r="M35" s="252"/>
      <c r="N35" s="252"/>
    </row>
    <row r="36" spans="1:14" ht="21.75" customHeight="1">
      <c r="A36" s="471"/>
      <c r="B36" s="472"/>
      <c r="C36" s="41"/>
      <c r="D36" s="21"/>
      <c r="E36" s="13"/>
      <c r="F36" s="42">
        <f t="shared" si="2"/>
        <v>0</v>
      </c>
      <c r="G36" s="41"/>
      <c r="H36" s="13"/>
      <c r="I36" s="265">
        <f t="shared" si="3"/>
        <v>0</v>
      </c>
      <c r="J36" s="252"/>
      <c r="K36" s="252"/>
      <c r="L36" s="252"/>
      <c r="M36" s="252"/>
      <c r="N36" s="252"/>
    </row>
    <row r="37" spans="1:14" ht="15.75" customHeight="1" thickBot="1">
      <c r="A37" s="46"/>
      <c r="B37" s="47"/>
      <c r="C37" s="473" t="s">
        <v>122</v>
      </c>
      <c r="D37" s="474"/>
      <c r="E37" s="475"/>
      <c r="F37" s="266">
        <f>SUM(F24:F36)</f>
        <v>0</v>
      </c>
      <c r="G37" s="473" t="s">
        <v>123</v>
      </c>
      <c r="H37" s="475"/>
      <c r="I37" s="266">
        <f>SUM(I24:I36)</f>
        <v>0</v>
      </c>
      <c r="J37" s="252"/>
      <c r="K37" s="252"/>
      <c r="L37" s="252"/>
      <c r="M37" s="252"/>
      <c r="N37" s="252"/>
    </row>
    <row r="38" spans="1:14" ht="20.149999999999999" customHeight="1" thickBot="1">
      <c r="A38" s="469" t="s">
        <v>124</v>
      </c>
      <c r="B38" s="470"/>
      <c r="C38" s="470"/>
      <c r="D38" s="470"/>
      <c r="E38" s="470"/>
      <c r="F38" s="470"/>
      <c r="G38" s="470"/>
      <c r="H38" s="470"/>
      <c r="I38" s="267">
        <f>SUM(I37,F37)</f>
        <v>0</v>
      </c>
      <c r="J38" s="252"/>
      <c r="K38" s="252"/>
      <c r="L38" s="252"/>
      <c r="M38" s="252"/>
      <c r="N38" s="252"/>
    </row>
    <row r="39" spans="1:14" ht="15.75" customHeight="1">
      <c r="A39" s="252"/>
      <c r="B39" s="252"/>
      <c r="C39" s="252"/>
      <c r="D39" s="252"/>
      <c r="E39" s="257"/>
      <c r="F39" s="252"/>
      <c r="G39" s="252"/>
      <c r="H39" s="252"/>
      <c r="I39" s="252"/>
      <c r="J39" s="252"/>
      <c r="K39" s="252"/>
      <c r="L39" s="252"/>
      <c r="M39" s="252"/>
      <c r="N39" s="252"/>
    </row>
    <row r="40" spans="1:14" ht="15.75" customHeight="1">
      <c r="A40" s="252"/>
      <c r="B40" s="252"/>
      <c r="C40" s="252"/>
      <c r="D40" s="252"/>
      <c r="E40" s="257"/>
      <c r="F40" s="252"/>
      <c r="G40" s="252"/>
      <c r="H40" s="252"/>
      <c r="I40" s="252"/>
      <c r="J40" s="252"/>
      <c r="K40" s="252"/>
      <c r="L40" s="252"/>
      <c r="M40" s="252"/>
      <c r="N40" s="252"/>
    </row>
    <row r="41" spans="1:14" ht="15.75" customHeight="1">
      <c r="A41" s="252"/>
      <c r="B41" s="252"/>
      <c r="C41" s="252"/>
      <c r="D41" s="252"/>
      <c r="E41" s="257"/>
      <c r="F41" s="252"/>
      <c r="G41" s="252"/>
      <c r="H41" s="252"/>
      <c r="I41" s="252"/>
      <c r="J41" s="252"/>
      <c r="K41" s="252"/>
      <c r="L41" s="252"/>
      <c r="M41" s="252"/>
      <c r="N41" s="252"/>
    </row>
    <row r="42" spans="1:14" ht="15.75" customHeight="1">
      <c r="A42" s="252"/>
      <c r="B42" s="252"/>
      <c r="C42" s="252"/>
      <c r="D42" s="252"/>
      <c r="E42" s="257"/>
      <c r="F42" s="252"/>
      <c r="G42" s="252"/>
      <c r="H42" s="252"/>
      <c r="I42" s="252"/>
      <c r="J42" s="252"/>
      <c r="K42" s="252"/>
      <c r="L42" s="252"/>
      <c r="M42" s="252"/>
      <c r="N42" s="252"/>
    </row>
    <row r="43" spans="1:14" ht="15.75" customHeight="1">
      <c r="A43" s="252"/>
      <c r="B43" s="252"/>
      <c r="C43" s="252"/>
      <c r="D43" s="252"/>
      <c r="E43" s="257"/>
      <c r="F43" s="252"/>
      <c r="G43" s="252"/>
      <c r="H43" s="252"/>
      <c r="I43" s="252"/>
      <c r="J43" s="252"/>
      <c r="K43" s="252"/>
      <c r="L43" s="252"/>
      <c r="M43" s="252"/>
      <c r="N43" s="252"/>
    </row>
    <row r="44" spans="1:14" ht="15.75" customHeight="1">
      <c r="A44" s="252"/>
      <c r="B44" s="252"/>
      <c r="C44" s="252"/>
      <c r="D44" s="252"/>
      <c r="E44" s="257"/>
      <c r="F44" s="252"/>
      <c r="G44" s="252"/>
      <c r="H44" s="252"/>
      <c r="I44" s="252"/>
      <c r="J44" s="252"/>
      <c r="K44" s="252"/>
      <c r="L44" s="252"/>
      <c r="M44" s="252"/>
      <c r="N44" s="252"/>
    </row>
    <row r="45" spans="1:14" ht="15.75" customHeight="1">
      <c r="A45" s="252"/>
      <c r="B45" s="252"/>
      <c r="C45" s="252"/>
      <c r="D45" s="252"/>
      <c r="E45" s="257"/>
      <c r="F45" s="252"/>
      <c r="G45" s="252"/>
      <c r="H45" s="252"/>
      <c r="I45" s="252"/>
      <c r="J45" s="252"/>
      <c r="K45" s="252"/>
      <c r="L45" s="252"/>
      <c r="M45" s="252"/>
      <c r="N45" s="252"/>
    </row>
    <row r="46" spans="1:14" ht="15.75" customHeight="1">
      <c r="A46" s="252"/>
      <c r="B46" s="252"/>
      <c r="C46" s="252"/>
      <c r="D46" s="252"/>
      <c r="E46" s="257"/>
      <c r="F46" s="252"/>
      <c r="G46" s="252"/>
      <c r="H46" s="252"/>
      <c r="I46" s="252"/>
      <c r="J46" s="252"/>
      <c r="K46" s="252"/>
      <c r="L46" s="252"/>
      <c r="M46" s="252"/>
      <c r="N46" s="252"/>
    </row>
    <row r="47" spans="1:14" ht="15.75" customHeight="1">
      <c r="E47" s="9"/>
    </row>
    <row r="48" spans="1:14" ht="15.75" customHeight="1">
      <c r="E48" s="9"/>
    </row>
    <row r="49" spans="5:5" ht="15.75" customHeight="1">
      <c r="E49" s="9"/>
    </row>
    <row r="50" spans="5:5" ht="15.75" customHeight="1">
      <c r="E50" s="9"/>
    </row>
    <row r="51" spans="5:5" ht="15.75" customHeight="1">
      <c r="E51" s="9"/>
    </row>
    <row r="52" spans="5:5" ht="15.75" customHeight="1">
      <c r="E52" s="9"/>
    </row>
    <row r="53" spans="5:5" ht="15.75" customHeight="1">
      <c r="E53" s="9"/>
    </row>
    <row r="54" spans="5:5" ht="15.75" customHeight="1">
      <c r="E54" s="9"/>
    </row>
    <row r="55" spans="5:5" ht="15.75" customHeight="1">
      <c r="E55" s="9"/>
    </row>
    <row r="56" spans="5:5" ht="15.75" customHeight="1">
      <c r="E56" s="9"/>
    </row>
    <row r="57" spans="5:5" ht="15.75" customHeight="1">
      <c r="E57" s="9"/>
    </row>
    <row r="58" spans="5:5" ht="15.75" customHeight="1">
      <c r="E58" s="9"/>
    </row>
    <row r="59" spans="5:5" ht="15.75" customHeight="1">
      <c r="E59" s="9"/>
    </row>
    <row r="60" spans="5:5" ht="15.75" customHeight="1">
      <c r="E60" s="9"/>
    </row>
    <row r="61" spans="5:5" ht="15.75" customHeight="1">
      <c r="E61" s="9"/>
    </row>
    <row r="62" spans="5:5" ht="15.75" customHeight="1">
      <c r="E62" s="9"/>
    </row>
    <row r="63" spans="5:5" ht="15.75" customHeight="1">
      <c r="E63" s="9"/>
    </row>
    <row r="64" spans="5: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36:B36"/>
    <mergeCell ref="C37:E37"/>
    <mergeCell ref="G37:H37"/>
    <mergeCell ref="A38:H38"/>
    <mergeCell ref="A30:B30"/>
    <mergeCell ref="A31:B31"/>
    <mergeCell ref="A32:B32"/>
    <mergeCell ref="A33:B33"/>
    <mergeCell ref="A34:B34"/>
    <mergeCell ref="A35:B35"/>
    <mergeCell ref="A29:B29"/>
    <mergeCell ref="A18:B18"/>
    <mergeCell ref="C19:E19"/>
    <mergeCell ref="G19:H19"/>
    <mergeCell ref="A20:H20"/>
    <mergeCell ref="A21:I21"/>
    <mergeCell ref="A22:B23"/>
    <mergeCell ref="C22:F22"/>
    <mergeCell ref="G22:I22"/>
    <mergeCell ref="A24:B24"/>
    <mergeCell ref="A25:B25"/>
    <mergeCell ref="A26:B26"/>
    <mergeCell ref="A27:B27"/>
    <mergeCell ref="A28:B28"/>
    <mergeCell ref="A17:B17"/>
    <mergeCell ref="A6:B6"/>
    <mergeCell ref="A7:B7"/>
    <mergeCell ref="A8:B8"/>
    <mergeCell ref="A9:B9"/>
    <mergeCell ref="A10:B10"/>
    <mergeCell ref="A11:B11"/>
    <mergeCell ref="A12:B12"/>
    <mergeCell ref="A13:B13"/>
    <mergeCell ref="A14:B14"/>
    <mergeCell ref="A15:B15"/>
    <mergeCell ref="A16:B16"/>
    <mergeCell ref="A3:I3"/>
    <mergeCell ref="A4:B5"/>
    <mergeCell ref="C4:F4"/>
    <mergeCell ref="G4:I4"/>
    <mergeCell ref="A1:F2"/>
  </mergeCells>
  <conditionalFormatting sqref="G2:H2">
    <cfRule type="expression" dxfId="18" priority="1" stopIfTrue="1">
      <formula>"MM/DD/YY"</formula>
    </cfRule>
  </conditionalFormatting>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11265" r:id="rId4" name="CommandButton1">
          <controlPr defaultSize="0" autoLine="0" altText="Add A Row Command Button" r:id="rId5">
            <anchor moveWithCells="1">
              <from>
                <xdr:col>9</xdr:col>
                <xdr:colOff>336550</xdr:colOff>
                <xdr:row>16</xdr:row>
                <xdr:rowOff>266700</xdr:rowOff>
              </from>
              <to>
                <xdr:col>11</xdr:col>
                <xdr:colOff>463550</xdr:colOff>
                <xdr:row>18</xdr:row>
                <xdr:rowOff>6350</xdr:rowOff>
              </to>
            </anchor>
          </controlPr>
        </control>
      </mc:Choice>
      <mc:Fallback>
        <control shapeId="11265" r:id="rId4" name="CommandButton1"/>
      </mc:Fallback>
    </mc:AlternateContent>
  </control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DDA89-0CAC-4D1E-A5DD-FAA7D3665EAE}">
  <sheetPr codeName="Sheet11">
    <pageSetUpPr fitToPage="1"/>
  </sheetPr>
  <dimension ref="A1:Z1025"/>
  <sheetViews>
    <sheetView topLeftCell="C18" zoomScaleNormal="100" zoomScaleSheetLayoutView="90" workbookViewId="0">
      <selection activeCell="F6" sqref="F6:F14"/>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thickTop="1">
      <c r="A1" s="483" t="s">
        <v>164</v>
      </c>
      <c r="B1" s="484"/>
      <c r="C1" s="484"/>
      <c r="D1" s="484"/>
      <c r="E1" s="484"/>
      <c r="F1" s="484"/>
      <c r="G1" s="268" t="s">
        <v>165</v>
      </c>
      <c r="H1" s="269"/>
      <c r="I1" s="270" t="s">
        <v>166</v>
      </c>
      <c r="J1" s="252"/>
      <c r="K1" s="252"/>
      <c r="L1" s="252"/>
      <c r="M1" s="252"/>
      <c r="N1" s="252"/>
      <c r="O1" s="252"/>
    </row>
    <row r="2" spans="1:26" ht="15" customHeight="1" thickBot="1">
      <c r="A2" s="388"/>
      <c r="B2" s="389"/>
      <c r="C2" s="389"/>
      <c r="D2" s="389"/>
      <c r="E2" s="389"/>
      <c r="F2" s="389"/>
      <c r="G2" s="163" t="str">
        <f>IF(INPUT!C3=0,"",INPUT!C3)</f>
        <v>RLP # 36C248-25-R-0110 – EXHIBIT K</v>
      </c>
      <c r="H2" s="163"/>
      <c r="I2" s="164" t="str">
        <f>IF(INPUT!C10=0,"",INPUT!C10)</f>
        <v/>
      </c>
      <c r="J2" s="252"/>
      <c r="K2" s="252"/>
      <c r="L2" s="252"/>
      <c r="M2" s="252"/>
      <c r="N2" s="252"/>
      <c r="O2" s="252"/>
    </row>
    <row r="3" spans="1:26" s="10" customFormat="1" ht="36" customHeight="1" thickBot="1">
      <c r="A3" s="480" t="s">
        <v>235</v>
      </c>
      <c r="B3" s="402"/>
      <c r="C3" s="402"/>
      <c r="D3" s="402"/>
      <c r="E3" s="402"/>
      <c r="F3" s="402"/>
      <c r="G3" s="402"/>
      <c r="H3" s="402"/>
      <c r="I3" s="403"/>
      <c r="J3" s="253"/>
      <c r="K3" s="253"/>
      <c r="L3" s="253"/>
      <c r="M3" s="253"/>
      <c r="N3" s="253"/>
      <c r="O3" s="253"/>
    </row>
    <row r="4" spans="1:26" ht="15.5">
      <c r="A4" s="452" t="s">
        <v>93</v>
      </c>
      <c r="B4" s="453"/>
      <c r="C4" s="390" t="s">
        <v>91</v>
      </c>
      <c r="D4" s="382"/>
      <c r="E4" s="382"/>
      <c r="F4" s="383"/>
      <c r="G4" s="381" t="s">
        <v>92</v>
      </c>
      <c r="H4" s="382"/>
      <c r="I4" s="383"/>
      <c r="J4" s="252"/>
      <c r="K4" s="252"/>
      <c r="L4" s="252"/>
      <c r="M4" s="252"/>
      <c r="N4" s="252"/>
      <c r="O4" s="252"/>
    </row>
    <row r="5" spans="1:26" ht="15.75" customHeight="1" thickBot="1">
      <c r="A5" s="454"/>
      <c r="B5" s="455"/>
      <c r="C5" s="37" t="s">
        <v>129</v>
      </c>
      <c r="D5" s="27" t="s">
        <v>95</v>
      </c>
      <c r="E5" s="28" t="s">
        <v>61</v>
      </c>
      <c r="F5" s="38" t="s">
        <v>79</v>
      </c>
      <c r="G5" s="44" t="s">
        <v>96</v>
      </c>
      <c r="H5" s="30" t="s">
        <v>85</v>
      </c>
      <c r="I5" s="31" t="s">
        <v>79</v>
      </c>
      <c r="J5" s="252"/>
      <c r="K5" s="252"/>
      <c r="L5" s="252"/>
      <c r="M5" s="252"/>
      <c r="N5" s="252"/>
      <c r="O5" s="252"/>
    </row>
    <row r="6" spans="1:26" ht="21.75" customHeight="1">
      <c r="A6" s="476" t="s">
        <v>149</v>
      </c>
      <c r="B6" s="472"/>
      <c r="C6" s="34">
        <v>1</v>
      </c>
      <c r="D6" s="19" t="s">
        <v>148</v>
      </c>
      <c r="E6" s="11">
        <v>0</v>
      </c>
      <c r="F6" s="260">
        <f t="shared" ref="F6:F30" si="0">C6*E6</f>
        <v>0</v>
      </c>
      <c r="G6" s="34">
        <v>1</v>
      </c>
      <c r="H6" s="17">
        <v>0</v>
      </c>
      <c r="I6" s="261">
        <f t="shared" ref="I6:I30" si="1">G6*H6</f>
        <v>0</v>
      </c>
      <c r="J6" s="254"/>
      <c r="K6" s="254"/>
      <c r="L6" s="254"/>
      <c r="M6" s="254"/>
      <c r="N6" s="254"/>
      <c r="O6" s="254"/>
      <c r="P6" s="6"/>
      <c r="Q6" s="6"/>
      <c r="R6" s="6"/>
      <c r="S6" s="6"/>
      <c r="T6" s="6"/>
      <c r="U6" s="6"/>
      <c r="V6" s="6"/>
      <c r="W6" s="6"/>
      <c r="X6" s="6"/>
      <c r="Y6" s="6"/>
      <c r="Z6" s="6"/>
    </row>
    <row r="7" spans="1:26" ht="21.75" customHeight="1">
      <c r="A7" s="487"/>
      <c r="B7" s="488"/>
      <c r="C7" s="34"/>
      <c r="D7" s="19"/>
      <c r="E7" s="11"/>
      <c r="F7" s="260">
        <f>C7*E7</f>
        <v>0</v>
      </c>
      <c r="G7" s="43"/>
      <c r="H7" s="18"/>
      <c r="I7" s="179">
        <f t="shared" si="1"/>
        <v>0</v>
      </c>
      <c r="J7" s="254"/>
      <c r="K7" s="254"/>
      <c r="L7" s="254"/>
      <c r="M7" s="254"/>
      <c r="N7" s="254"/>
      <c r="O7" s="254"/>
      <c r="P7" s="6"/>
      <c r="Q7" s="6"/>
      <c r="R7" s="6"/>
      <c r="S7" s="6"/>
      <c r="T7" s="6"/>
      <c r="U7" s="6"/>
      <c r="V7" s="6"/>
      <c r="W7" s="6"/>
      <c r="X7" s="6"/>
      <c r="Y7" s="6"/>
      <c r="Z7" s="6"/>
    </row>
    <row r="8" spans="1:26" ht="21.75" customHeight="1">
      <c r="A8" s="487"/>
      <c r="B8" s="488"/>
      <c r="C8" s="34"/>
      <c r="D8" s="19"/>
      <c r="E8" s="11"/>
      <c r="F8" s="262">
        <f t="shared" si="0"/>
        <v>0</v>
      </c>
      <c r="G8" s="43"/>
      <c r="H8" s="18"/>
      <c r="I8" s="179">
        <f t="shared" si="1"/>
        <v>0</v>
      </c>
      <c r="J8" s="254"/>
      <c r="K8" s="254"/>
      <c r="L8" s="254"/>
      <c r="M8" s="254"/>
      <c r="N8" s="254"/>
      <c r="O8" s="254"/>
      <c r="P8" s="6"/>
      <c r="Q8" s="6"/>
      <c r="R8" s="6"/>
      <c r="S8" s="6"/>
      <c r="T8" s="6"/>
      <c r="U8" s="6"/>
      <c r="V8" s="6"/>
      <c r="W8" s="6"/>
      <c r="X8" s="6"/>
      <c r="Y8" s="6"/>
      <c r="Z8" s="6"/>
    </row>
    <row r="9" spans="1:26" ht="21.75" customHeight="1">
      <c r="A9" s="487"/>
      <c r="B9" s="488"/>
      <c r="C9" s="34"/>
      <c r="D9" s="19"/>
      <c r="E9" s="11"/>
      <c r="F9" s="262">
        <f t="shared" si="0"/>
        <v>0</v>
      </c>
      <c r="G9" s="43"/>
      <c r="H9" s="18"/>
      <c r="I9" s="179">
        <f t="shared" si="1"/>
        <v>0</v>
      </c>
      <c r="J9" s="254"/>
      <c r="K9" s="254"/>
      <c r="L9" s="254"/>
      <c r="M9" s="254"/>
      <c r="N9" s="254"/>
      <c r="O9" s="254"/>
      <c r="P9" s="6"/>
      <c r="Q9" s="6"/>
      <c r="R9" s="6"/>
      <c r="S9" s="6"/>
      <c r="T9" s="6"/>
      <c r="U9" s="6"/>
      <c r="V9" s="6"/>
      <c r="W9" s="6"/>
      <c r="X9" s="6"/>
      <c r="Y9" s="6"/>
      <c r="Z9" s="6"/>
    </row>
    <row r="10" spans="1:26" ht="21.75" customHeight="1">
      <c r="A10" s="487"/>
      <c r="B10" s="488"/>
      <c r="C10" s="34"/>
      <c r="D10" s="19"/>
      <c r="E10" s="11"/>
      <c r="F10" s="260">
        <f t="shared" si="0"/>
        <v>0</v>
      </c>
      <c r="G10" s="43"/>
      <c r="H10" s="18"/>
      <c r="I10" s="179">
        <f t="shared" si="1"/>
        <v>0</v>
      </c>
      <c r="J10" s="254"/>
      <c r="K10" s="254"/>
      <c r="L10" s="254"/>
      <c r="M10" s="254"/>
      <c r="N10" s="254"/>
      <c r="O10" s="254"/>
      <c r="P10" s="6"/>
      <c r="Q10" s="6"/>
      <c r="R10" s="6"/>
      <c r="S10" s="6"/>
      <c r="T10" s="6"/>
      <c r="U10" s="6"/>
      <c r="V10" s="6"/>
      <c r="W10" s="6"/>
      <c r="X10" s="6"/>
      <c r="Y10" s="6"/>
      <c r="Z10" s="6"/>
    </row>
    <row r="11" spans="1:26" ht="21.75" customHeight="1">
      <c r="A11" s="490"/>
      <c r="B11" s="491"/>
      <c r="C11" s="34"/>
      <c r="D11" s="19"/>
      <c r="E11" s="11"/>
      <c r="F11" s="260">
        <f t="shared" si="0"/>
        <v>0</v>
      </c>
      <c r="G11" s="43"/>
      <c r="H11" s="18"/>
      <c r="I11" s="179">
        <f t="shared" si="1"/>
        <v>0</v>
      </c>
      <c r="J11" s="254"/>
      <c r="K11" s="254"/>
      <c r="L11" s="254"/>
      <c r="M11" s="254"/>
      <c r="N11" s="254"/>
      <c r="O11" s="254"/>
      <c r="P11" s="6"/>
      <c r="Q11" s="6"/>
      <c r="R11" s="6"/>
      <c r="S11" s="6"/>
      <c r="T11" s="6"/>
      <c r="U11" s="6"/>
      <c r="V11" s="6"/>
      <c r="W11" s="6"/>
      <c r="X11" s="6"/>
      <c r="Y11" s="6"/>
      <c r="Z11" s="6"/>
    </row>
    <row r="12" spans="1:26" ht="21.75" customHeight="1">
      <c r="A12" s="487"/>
      <c r="B12" s="488"/>
      <c r="C12" s="34"/>
      <c r="D12" s="19"/>
      <c r="E12" s="11"/>
      <c r="F12" s="260">
        <f t="shared" si="0"/>
        <v>0</v>
      </c>
      <c r="G12" s="43"/>
      <c r="H12" s="18"/>
      <c r="I12" s="179">
        <f t="shared" si="1"/>
        <v>0</v>
      </c>
      <c r="J12" s="254"/>
      <c r="K12" s="254"/>
      <c r="L12" s="254"/>
      <c r="M12" s="254"/>
      <c r="N12" s="254"/>
      <c r="O12" s="254"/>
      <c r="P12" s="6"/>
      <c r="Q12" s="6"/>
      <c r="R12" s="6"/>
      <c r="S12" s="6"/>
      <c r="T12" s="6"/>
      <c r="U12" s="6"/>
      <c r="V12" s="6"/>
      <c r="W12" s="6"/>
      <c r="X12" s="6"/>
      <c r="Y12" s="6"/>
      <c r="Z12" s="6"/>
    </row>
    <row r="13" spans="1:26" ht="21.75" customHeight="1">
      <c r="A13" s="490"/>
      <c r="B13" s="491"/>
      <c r="C13" s="34"/>
      <c r="D13" s="19"/>
      <c r="E13" s="11"/>
      <c r="F13" s="260">
        <f t="shared" si="0"/>
        <v>0</v>
      </c>
      <c r="G13" s="43"/>
      <c r="H13" s="18"/>
      <c r="I13" s="179">
        <f t="shared" si="1"/>
        <v>0</v>
      </c>
      <c r="J13" s="254"/>
      <c r="K13" s="254"/>
      <c r="L13" s="254"/>
      <c r="M13" s="254"/>
      <c r="N13" s="254"/>
      <c r="O13" s="254"/>
      <c r="P13" s="6"/>
      <c r="Q13" s="6"/>
      <c r="R13" s="6"/>
      <c r="S13" s="6"/>
      <c r="T13" s="6"/>
      <c r="U13" s="6"/>
      <c r="V13" s="6"/>
      <c r="W13" s="6"/>
      <c r="X13" s="6"/>
      <c r="Y13" s="6"/>
      <c r="Z13" s="6"/>
    </row>
    <row r="14" spans="1:26" ht="21.75" customHeight="1">
      <c r="A14" s="490"/>
      <c r="B14" s="491"/>
      <c r="C14" s="34"/>
      <c r="D14" s="19"/>
      <c r="E14" s="11"/>
      <c r="F14" s="260">
        <f t="shared" si="0"/>
        <v>0</v>
      </c>
      <c r="G14" s="43"/>
      <c r="H14" s="18"/>
      <c r="I14" s="179">
        <f t="shared" si="1"/>
        <v>0</v>
      </c>
      <c r="J14" s="254"/>
      <c r="K14" s="254"/>
      <c r="L14" s="254"/>
      <c r="M14" s="254"/>
      <c r="N14" s="254"/>
      <c r="O14" s="254"/>
      <c r="P14" s="6"/>
      <c r="Q14" s="6"/>
      <c r="R14" s="6"/>
      <c r="S14" s="6"/>
      <c r="T14" s="6"/>
      <c r="U14" s="6"/>
      <c r="V14" s="6"/>
      <c r="W14" s="6"/>
      <c r="X14" s="6"/>
      <c r="Y14" s="6"/>
      <c r="Z14" s="6"/>
    </row>
    <row r="15" spans="1:26" ht="21.75" customHeight="1">
      <c r="A15" s="490"/>
      <c r="B15" s="491"/>
      <c r="C15" s="34"/>
      <c r="D15" s="19"/>
      <c r="E15" s="11"/>
      <c r="F15" s="260">
        <f t="shared" si="0"/>
        <v>0</v>
      </c>
      <c r="G15" s="43"/>
      <c r="H15" s="18"/>
      <c r="I15" s="179">
        <f t="shared" si="1"/>
        <v>0</v>
      </c>
      <c r="J15" s="254"/>
      <c r="K15" s="254"/>
      <c r="L15" s="254"/>
      <c r="M15" s="254"/>
      <c r="N15" s="254"/>
      <c r="O15" s="254"/>
      <c r="P15" s="6"/>
      <c r="Q15" s="6"/>
      <c r="R15" s="6"/>
      <c r="S15" s="6"/>
      <c r="T15" s="6"/>
      <c r="U15" s="6"/>
      <c r="V15" s="6"/>
      <c r="W15" s="6"/>
      <c r="X15" s="6"/>
      <c r="Y15" s="6"/>
      <c r="Z15" s="6"/>
    </row>
    <row r="16" spans="1:26" ht="21.75" customHeight="1">
      <c r="A16" s="490"/>
      <c r="B16" s="491"/>
      <c r="C16" s="34"/>
      <c r="D16" s="19"/>
      <c r="E16" s="11"/>
      <c r="F16" s="260">
        <f t="shared" si="0"/>
        <v>0</v>
      </c>
      <c r="G16" s="43"/>
      <c r="H16" s="18"/>
      <c r="I16" s="179">
        <f t="shared" si="1"/>
        <v>0</v>
      </c>
      <c r="J16" s="254"/>
      <c r="K16" s="254"/>
      <c r="L16" s="254"/>
      <c r="M16" s="254"/>
      <c r="N16" s="254"/>
      <c r="O16" s="254"/>
      <c r="P16" s="6"/>
      <c r="Q16" s="6"/>
      <c r="R16" s="6"/>
      <c r="S16" s="6"/>
      <c r="T16" s="6"/>
      <c r="U16" s="6"/>
      <c r="V16" s="6"/>
      <c r="W16" s="6"/>
      <c r="X16" s="6"/>
      <c r="Y16" s="6"/>
      <c r="Z16" s="6"/>
    </row>
    <row r="17" spans="1:26" ht="21.75" customHeight="1">
      <c r="A17" s="490"/>
      <c r="B17" s="491"/>
      <c r="C17" s="34"/>
      <c r="D17" s="19"/>
      <c r="E17" s="11"/>
      <c r="F17" s="260">
        <f t="shared" si="0"/>
        <v>0</v>
      </c>
      <c r="G17" s="43"/>
      <c r="H17" s="18"/>
      <c r="I17" s="179">
        <f t="shared" si="1"/>
        <v>0</v>
      </c>
      <c r="J17" s="254"/>
      <c r="K17" s="254"/>
      <c r="L17" s="254"/>
      <c r="M17" s="254"/>
      <c r="N17" s="254"/>
      <c r="O17" s="254"/>
      <c r="P17" s="6"/>
      <c r="Q17" s="6"/>
      <c r="R17" s="6"/>
      <c r="S17" s="6"/>
      <c r="T17" s="6"/>
      <c r="U17" s="6"/>
      <c r="V17" s="6"/>
      <c r="W17" s="6"/>
      <c r="X17" s="6"/>
      <c r="Y17" s="6"/>
      <c r="Z17" s="6"/>
    </row>
    <row r="18" spans="1:26" ht="21.75" customHeight="1">
      <c r="A18" s="490"/>
      <c r="B18" s="491"/>
      <c r="C18" s="34"/>
      <c r="D18" s="19"/>
      <c r="E18" s="11"/>
      <c r="F18" s="260">
        <f t="shared" si="0"/>
        <v>0</v>
      </c>
      <c r="G18" s="43"/>
      <c r="H18" s="18"/>
      <c r="I18" s="179">
        <f t="shared" si="1"/>
        <v>0</v>
      </c>
      <c r="J18" s="254"/>
      <c r="K18" s="254"/>
      <c r="L18" s="254"/>
      <c r="M18" s="254"/>
      <c r="N18" s="254"/>
      <c r="O18" s="254"/>
      <c r="P18" s="6"/>
      <c r="Q18" s="6"/>
      <c r="R18" s="6"/>
      <c r="S18" s="6"/>
      <c r="T18" s="6"/>
      <c r="U18" s="6"/>
      <c r="V18" s="6"/>
      <c r="W18" s="6"/>
      <c r="X18" s="6"/>
      <c r="Y18" s="6"/>
      <c r="Z18" s="6"/>
    </row>
    <row r="19" spans="1:26" ht="21.75" customHeight="1">
      <c r="A19" s="490"/>
      <c r="B19" s="491"/>
      <c r="C19" s="34"/>
      <c r="D19" s="19"/>
      <c r="E19" s="11"/>
      <c r="F19" s="260">
        <f t="shared" si="0"/>
        <v>0</v>
      </c>
      <c r="G19" s="43"/>
      <c r="H19" s="18"/>
      <c r="I19" s="179">
        <f t="shared" si="1"/>
        <v>0</v>
      </c>
      <c r="J19" s="254"/>
      <c r="K19" s="254"/>
      <c r="L19" s="254"/>
      <c r="M19" s="254"/>
      <c r="N19" s="254"/>
      <c r="O19" s="254"/>
      <c r="P19" s="6"/>
      <c r="Q19" s="6"/>
      <c r="R19" s="6"/>
      <c r="S19" s="6"/>
      <c r="T19" s="6"/>
      <c r="U19" s="6"/>
      <c r="V19" s="6"/>
      <c r="W19" s="6"/>
      <c r="X19" s="6"/>
      <c r="Y19" s="6"/>
      <c r="Z19" s="6"/>
    </row>
    <row r="20" spans="1:26" ht="21.75" customHeight="1">
      <c r="A20" s="490"/>
      <c r="B20" s="491"/>
      <c r="C20" s="34"/>
      <c r="D20" s="19"/>
      <c r="E20" s="11"/>
      <c r="F20" s="260">
        <f t="shared" si="0"/>
        <v>0</v>
      </c>
      <c r="G20" s="43"/>
      <c r="H20" s="18"/>
      <c r="I20" s="179">
        <f t="shared" si="1"/>
        <v>0</v>
      </c>
      <c r="J20" s="254"/>
      <c r="K20" s="254"/>
      <c r="L20" s="254"/>
      <c r="M20" s="254"/>
      <c r="N20" s="254"/>
      <c r="O20" s="254"/>
      <c r="P20" s="6"/>
      <c r="Q20" s="6"/>
      <c r="R20" s="6"/>
      <c r="S20" s="6"/>
      <c r="T20" s="6"/>
      <c r="U20" s="6"/>
      <c r="V20" s="6"/>
      <c r="W20" s="6"/>
      <c r="X20" s="6"/>
      <c r="Y20" s="6"/>
      <c r="Z20" s="6"/>
    </row>
    <row r="21" spans="1:26" ht="21.75" customHeight="1">
      <c r="A21" s="490"/>
      <c r="B21" s="491"/>
      <c r="C21" s="34"/>
      <c r="D21" s="19"/>
      <c r="E21" s="11"/>
      <c r="F21" s="260">
        <f t="shared" si="0"/>
        <v>0</v>
      </c>
      <c r="G21" s="43"/>
      <c r="H21" s="18"/>
      <c r="I21" s="179">
        <f t="shared" si="1"/>
        <v>0</v>
      </c>
      <c r="J21" s="254"/>
      <c r="K21" s="254"/>
      <c r="L21" s="254"/>
      <c r="M21" s="254"/>
      <c r="N21" s="254"/>
      <c r="O21" s="254"/>
      <c r="P21" s="6"/>
      <c r="Q21" s="6"/>
      <c r="R21" s="6"/>
      <c r="S21" s="6"/>
      <c r="T21" s="6"/>
      <c r="U21" s="6"/>
      <c r="V21" s="6"/>
      <c r="W21" s="6"/>
      <c r="X21" s="6"/>
      <c r="Y21" s="6"/>
      <c r="Z21" s="6"/>
    </row>
    <row r="22" spans="1:26" ht="21.75" customHeight="1">
      <c r="A22" s="490"/>
      <c r="B22" s="491"/>
      <c r="C22" s="34"/>
      <c r="D22" s="19"/>
      <c r="E22" s="11"/>
      <c r="F22" s="260">
        <f t="shared" si="0"/>
        <v>0</v>
      </c>
      <c r="G22" s="43"/>
      <c r="H22" s="18"/>
      <c r="I22" s="179">
        <f t="shared" si="1"/>
        <v>0</v>
      </c>
      <c r="J22" s="254"/>
      <c r="K22" s="254"/>
      <c r="L22" s="254"/>
      <c r="M22" s="254"/>
      <c r="N22" s="254"/>
      <c r="O22" s="254"/>
      <c r="P22" s="6"/>
      <c r="Q22" s="6"/>
      <c r="R22" s="6"/>
      <c r="S22" s="6"/>
      <c r="T22" s="6"/>
      <c r="U22" s="6"/>
      <c r="V22" s="6"/>
      <c r="W22" s="6"/>
      <c r="X22" s="6"/>
      <c r="Y22" s="6"/>
      <c r="Z22" s="6"/>
    </row>
    <row r="23" spans="1:26" ht="21.75" customHeight="1">
      <c r="A23" s="490"/>
      <c r="B23" s="491"/>
      <c r="C23" s="34"/>
      <c r="D23" s="19"/>
      <c r="E23" s="11"/>
      <c r="F23" s="260">
        <f t="shared" si="0"/>
        <v>0</v>
      </c>
      <c r="G23" s="43"/>
      <c r="H23" s="18"/>
      <c r="I23" s="179">
        <f t="shared" si="1"/>
        <v>0</v>
      </c>
      <c r="J23" s="254"/>
      <c r="K23" s="254"/>
      <c r="L23" s="254"/>
      <c r="M23" s="254"/>
      <c r="N23" s="254"/>
      <c r="O23" s="254"/>
      <c r="P23" s="6"/>
      <c r="Q23" s="6"/>
      <c r="R23" s="6"/>
      <c r="S23" s="6"/>
      <c r="T23" s="6"/>
      <c r="U23" s="6"/>
      <c r="V23" s="6"/>
      <c r="W23" s="6"/>
      <c r="X23" s="6"/>
      <c r="Y23" s="6"/>
      <c r="Z23" s="6"/>
    </row>
    <row r="24" spans="1:26" ht="21.75" customHeight="1">
      <c r="A24" s="487"/>
      <c r="B24" s="488"/>
      <c r="C24" s="34"/>
      <c r="D24" s="19"/>
      <c r="E24" s="11"/>
      <c r="F24" s="260">
        <f t="shared" si="0"/>
        <v>0</v>
      </c>
      <c r="G24" s="43"/>
      <c r="H24" s="18"/>
      <c r="I24" s="179">
        <f t="shared" si="1"/>
        <v>0</v>
      </c>
      <c r="J24" s="254"/>
      <c r="K24" s="254"/>
      <c r="L24" s="254"/>
      <c r="M24" s="254"/>
      <c r="N24" s="254"/>
      <c r="O24" s="254"/>
      <c r="P24" s="6"/>
      <c r="Q24" s="6"/>
      <c r="R24" s="6"/>
      <c r="S24" s="6"/>
      <c r="T24" s="6"/>
      <c r="U24" s="6"/>
      <c r="V24" s="6"/>
      <c r="W24" s="6"/>
      <c r="X24" s="6"/>
      <c r="Y24" s="6"/>
      <c r="Z24" s="6"/>
    </row>
    <row r="25" spans="1:26" ht="21.75" customHeight="1">
      <c r="A25" s="487"/>
      <c r="B25" s="488"/>
      <c r="C25" s="34"/>
      <c r="D25" s="19"/>
      <c r="E25" s="11"/>
      <c r="F25" s="260">
        <f t="shared" si="0"/>
        <v>0</v>
      </c>
      <c r="G25" s="43"/>
      <c r="H25" s="18"/>
      <c r="I25" s="179">
        <f t="shared" si="1"/>
        <v>0</v>
      </c>
      <c r="J25" s="254"/>
      <c r="K25" s="254"/>
      <c r="L25" s="254"/>
      <c r="M25" s="254"/>
      <c r="N25" s="254"/>
      <c r="O25" s="254"/>
      <c r="P25" s="6"/>
      <c r="Q25" s="6"/>
      <c r="R25" s="6"/>
      <c r="S25" s="6"/>
      <c r="T25" s="6"/>
      <c r="U25" s="6"/>
      <c r="V25" s="6"/>
      <c r="W25" s="6"/>
      <c r="X25" s="6"/>
      <c r="Y25" s="6"/>
      <c r="Z25" s="6"/>
    </row>
    <row r="26" spans="1:26" ht="21.75" customHeight="1">
      <c r="A26" s="487"/>
      <c r="B26" s="488"/>
      <c r="C26" s="34"/>
      <c r="D26" s="19"/>
      <c r="E26" s="11"/>
      <c r="F26" s="260">
        <f t="shared" si="0"/>
        <v>0</v>
      </c>
      <c r="G26" s="43"/>
      <c r="H26" s="18"/>
      <c r="I26" s="179">
        <f t="shared" si="1"/>
        <v>0</v>
      </c>
      <c r="J26" s="254"/>
      <c r="K26" s="254"/>
      <c r="L26" s="254"/>
      <c r="M26" s="254"/>
      <c r="N26" s="254"/>
      <c r="O26" s="254"/>
      <c r="P26" s="6"/>
      <c r="Q26" s="6"/>
      <c r="R26" s="6"/>
      <c r="S26" s="6"/>
      <c r="T26" s="6"/>
      <c r="U26" s="6"/>
      <c r="V26" s="6"/>
      <c r="W26" s="6"/>
      <c r="X26" s="6"/>
      <c r="Y26" s="6"/>
      <c r="Z26" s="6"/>
    </row>
    <row r="27" spans="1:26" ht="21.75" customHeight="1">
      <c r="A27" s="487"/>
      <c r="B27" s="488"/>
      <c r="C27" s="34"/>
      <c r="D27" s="19"/>
      <c r="E27" s="11"/>
      <c r="F27" s="260">
        <f t="shared" si="0"/>
        <v>0</v>
      </c>
      <c r="G27" s="43"/>
      <c r="H27" s="18"/>
      <c r="I27" s="179">
        <f t="shared" si="1"/>
        <v>0</v>
      </c>
      <c r="J27" s="254"/>
      <c r="K27" s="254"/>
      <c r="L27" s="254"/>
      <c r="M27" s="254"/>
      <c r="N27" s="254"/>
      <c r="O27" s="254"/>
      <c r="P27" s="6"/>
      <c r="Q27" s="6"/>
      <c r="R27" s="6"/>
      <c r="S27" s="6"/>
      <c r="T27" s="6"/>
      <c r="U27" s="6"/>
      <c r="V27" s="6"/>
      <c r="W27" s="6"/>
      <c r="X27" s="6"/>
      <c r="Y27" s="6"/>
      <c r="Z27" s="6"/>
    </row>
    <row r="28" spans="1:26" ht="21.75" customHeight="1">
      <c r="A28" s="487"/>
      <c r="B28" s="488"/>
      <c r="C28" s="34"/>
      <c r="D28" s="19"/>
      <c r="E28" s="11"/>
      <c r="F28" s="260">
        <f t="shared" si="0"/>
        <v>0</v>
      </c>
      <c r="G28" s="43"/>
      <c r="H28" s="18"/>
      <c r="I28" s="179">
        <f t="shared" si="1"/>
        <v>0</v>
      </c>
      <c r="J28" s="254"/>
      <c r="K28" s="254"/>
      <c r="L28" s="254"/>
      <c r="M28" s="254"/>
      <c r="N28" s="254"/>
      <c r="O28" s="254"/>
      <c r="P28" s="6"/>
      <c r="Q28" s="6"/>
      <c r="R28" s="6"/>
      <c r="S28" s="6"/>
      <c r="T28" s="6"/>
      <c r="U28" s="6"/>
      <c r="V28" s="6"/>
      <c r="W28" s="6"/>
      <c r="X28" s="6"/>
      <c r="Y28" s="6"/>
      <c r="Z28" s="6"/>
    </row>
    <row r="29" spans="1:26" ht="21.75" customHeight="1">
      <c r="A29" s="487"/>
      <c r="B29" s="488"/>
      <c r="C29" s="34"/>
      <c r="D29" s="19"/>
      <c r="E29" s="11"/>
      <c r="F29" s="260">
        <f t="shared" si="0"/>
        <v>0</v>
      </c>
      <c r="G29" s="43"/>
      <c r="H29" s="18"/>
      <c r="I29" s="179">
        <f t="shared" si="1"/>
        <v>0</v>
      </c>
      <c r="J29" s="254"/>
      <c r="K29" s="254"/>
      <c r="L29" s="254"/>
      <c r="M29" s="254"/>
      <c r="N29" s="254"/>
      <c r="O29" s="254"/>
      <c r="P29" s="6"/>
      <c r="Q29" s="6"/>
      <c r="R29" s="6"/>
      <c r="S29" s="6"/>
      <c r="T29" s="6"/>
      <c r="U29" s="6"/>
      <c r="V29" s="6"/>
      <c r="W29" s="6"/>
      <c r="X29" s="6"/>
      <c r="Y29" s="6"/>
      <c r="Z29" s="6"/>
    </row>
    <row r="30" spans="1:26" ht="21.75" customHeight="1">
      <c r="A30" s="487"/>
      <c r="B30" s="488"/>
      <c r="C30" s="34"/>
      <c r="D30" s="19"/>
      <c r="E30" s="11"/>
      <c r="F30" s="263">
        <f t="shared" si="0"/>
        <v>0</v>
      </c>
      <c r="G30" s="34"/>
      <c r="H30" s="22"/>
      <c r="I30" s="182">
        <f t="shared" si="1"/>
        <v>0</v>
      </c>
      <c r="J30" s="254"/>
      <c r="K30" s="254"/>
      <c r="L30" s="254"/>
      <c r="M30" s="254"/>
      <c r="N30" s="254"/>
      <c r="O30" s="254"/>
      <c r="P30" s="6"/>
      <c r="Q30" s="6"/>
      <c r="R30" s="6"/>
      <c r="S30" s="6"/>
      <c r="T30" s="6"/>
      <c r="U30" s="6"/>
      <c r="V30" s="6"/>
      <c r="W30" s="6"/>
      <c r="X30" s="6"/>
      <c r="Y30" s="6"/>
      <c r="Z30" s="6"/>
    </row>
    <row r="31" spans="1:26" ht="15.75" customHeight="1" thickBot="1">
      <c r="A31" s="46"/>
      <c r="B31" s="47"/>
      <c r="C31" s="467" t="s">
        <v>122</v>
      </c>
      <c r="D31" s="468"/>
      <c r="E31" s="468"/>
      <c r="F31" s="25">
        <f>SUM(F6:F30)</f>
        <v>0</v>
      </c>
      <c r="G31" s="467" t="s">
        <v>123</v>
      </c>
      <c r="H31" s="468"/>
      <c r="I31" s="25">
        <f>SUM(I6:I30)</f>
        <v>0</v>
      </c>
      <c r="J31" s="255"/>
      <c r="K31" s="255"/>
      <c r="L31" s="255"/>
      <c r="M31" s="255"/>
      <c r="N31" s="255"/>
      <c r="O31" s="255"/>
      <c r="P31" s="7"/>
      <c r="Q31" s="7"/>
      <c r="R31" s="7"/>
      <c r="S31" s="7"/>
      <c r="T31" s="7"/>
      <c r="U31" s="7"/>
      <c r="V31" s="7"/>
      <c r="W31" s="7"/>
      <c r="X31" s="7"/>
      <c r="Y31" s="7"/>
      <c r="Z31" s="7"/>
    </row>
    <row r="32" spans="1:26" ht="19.5" customHeight="1" thickBot="1">
      <c r="A32" s="469" t="s">
        <v>125</v>
      </c>
      <c r="B32" s="470"/>
      <c r="C32" s="470"/>
      <c r="D32" s="470"/>
      <c r="E32" s="470"/>
      <c r="F32" s="470"/>
      <c r="G32" s="470"/>
      <c r="H32" s="470"/>
      <c r="I32" s="26">
        <f>SUM(I31,F31)</f>
        <v>0</v>
      </c>
      <c r="J32" s="255"/>
      <c r="K32" s="255"/>
      <c r="L32" s="255"/>
      <c r="M32" s="255"/>
      <c r="N32" s="255"/>
      <c r="O32" s="255"/>
      <c r="P32" s="7"/>
      <c r="Q32" s="7"/>
      <c r="R32" s="7"/>
      <c r="S32" s="7"/>
      <c r="T32" s="7"/>
      <c r="U32" s="7"/>
      <c r="V32" s="7"/>
      <c r="W32" s="7"/>
      <c r="X32" s="7"/>
      <c r="Y32" s="7"/>
      <c r="Z32" s="7"/>
    </row>
    <row r="33" spans="1:26" ht="36" customHeight="1" thickBot="1">
      <c r="A33" s="485" t="s">
        <v>236</v>
      </c>
      <c r="B33" s="486"/>
      <c r="C33" s="486"/>
      <c r="D33" s="486"/>
      <c r="E33" s="486"/>
      <c r="F33" s="486"/>
      <c r="G33" s="486"/>
      <c r="H33" s="486"/>
      <c r="I33" s="479"/>
      <c r="J33" s="255"/>
      <c r="K33" s="255"/>
      <c r="L33" s="255"/>
      <c r="M33" s="255"/>
      <c r="N33" s="255"/>
      <c r="O33" s="255"/>
      <c r="P33" s="7"/>
      <c r="Q33" s="7"/>
      <c r="R33" s="7"/>
      <c r="S33" s="7"/>
      <c r="T33" s="7"/>
      <c r="U33" s="7"/>
      <c r="V33" s="7"/>
      <c r="W33" s="7"/>
      <c r="X33" s="7"/>
      <c r="Y33" s="7"/>
      <c r="Z33" s="7"/>
    </row>
    <row r="34" spans="1:26" ht="15.5">
      <c r="A34" s="452" t="s">
        <v>93</v>
      </c>
      <c r="B34" s="453"/>
      <c r="C34" s="390" t="s">
        <v>91</v>
      </c>
      <c r="D34" s="382"/>
      <c r="E34" s="382"/>
      <c r="F34" s="383"/>
      <c r="G34" s="381" t="s">
        <v>92</v>
      </c>
      <c r="H34" s="382"/>
      <c r="I34" s="383"/>
      <c r="J34" s="256"/>
      <c r="K34" s="256"/>
      <c r="L34" s="256"/>
      <c r="M34" s="256"/>
      <c r="N34" s="256"/>
      <c r="O34" s="256"/>
      <c r="P34" s="8"/>
      <c r="Q34" s="8"/>
      <c r="R34" s="8"/>
      <c r="S34" s="8"/>
      <c r="T34" s="8"/>
      <c r="U34" s="8"/>
      <c r="V34" s="8"/>
      <c r="W34" s="8"/>
      <c r="X34" s="8"/>
      <c r="Y34" s="8"/>
      <c r="Z34" s="8"/>
    </row>
    <row r="35" spans="1:26" ht="15.75" customHeight="1" thickBot="1">
      <c r="A35" s="454"/>
      <c r="B35" s="455"/>
      <c r="C35" s="37" t="s">
        <v>129</v>
      </c>
      <c r="D35" s="27" t="s">
        <v>95</v>
      </c>
      <c r="E35" s="28" t="s">
        <v>61</v>
      </c>
      <c r="F35" s="38" t="s">
        <v>79</v>
      </c>
      <c r="G35" s="44" t="s">
        <v>96</v>
      </c>
      <c r="H35" s="30" t="s">
        <v>85</v>
      </c>
      <c r="I35" s="31" t="s">
        <v>79</v>
      </c>
      <c r="J35" s="256"/>
      <c r="K35" s="256"/>
      <c r="L35" s="256"/>
      <c r="M35" s="256"/>
      <c r="N35" s="256"/>
      <c r="O35" s="256"/>
      <c r="P35" s="8"/>
      <c r="Q35" s="8"/>
      <c r="R35" s="8"/>
      <c r="S35" s="8"/>
      <c r="T35" s="8"/>
      <c r="U35" s="8"/>
      <c r="V35" s="8"/>
      <c r="W35" s="8"/>
      <c r="X35" s="8"/>
      <c r="Y35" s="8"/>
      <c r="Z35" s="8"/>
    </row>
    <row r="36" spans="1:26" ht="21.75" customHeight="1">
      <c r="A36" s="489"/>
      <c r="B36" s="488"/>
      <c r="C36" s="39">
        <v>1</v>
      </c>
      <c r="D36" s="20"/>
      <c r="E36" s="12">
        <v>0</v>
      </c>
      <c r="F36" s="40">
        <f t="shared" ref="F36:F58" si="2">C36*E36</f>
        <v>0</v>
      </c>
      <c r="G36" s="45">
        <v>1</v>
      </c>
      <c r="H36" s="12">
        <v>0</v>
      </c>
      <c r="I36" s="264">
        <f>G36*H36</f>
        <v>0</v>
      </c>
      <c r="J36" s="252"/>
      <c r="K36" s="252"/>
      <c r="L36" s="252"/>
      <c r="M36" s="252"/>
      <c r="N36" s="252"/>
      <c r="O36" s="252"/>
    </row>
    <row r="37" spans="1:26" ht="21.75" customHeight="1">
      <c r="A37" s="489"/>
      <c r="B37" s="488"/>
      <c r="C37" s="39"/>
      <c r="D37" s="20"/>
      <c r="E37" s="12"/>
      <c r="F37" s="40">
        <f t="shared" si="2"/>
        <v>0</v>
      </c>
      <c r="G37" s="45"/>
      <c r="H37" s="12"/>
      <c r="I37" s="206">
        <f t="shared" ref="I37:I58" si="3">G37*H37</f>
        <v>0</v>
      </c>
      <c r="J37" s="252"/>
      <c r="K37" s="252"/>
      <c r="L37" s="252"/>
      <c r="M37" s="252"/>
      <c r="N37" s="252"/>
      <c r="O37" s="252"/>
    </row>
    <row r="38" spans="1:26" ht="21.75" customHeight="1">
      <c r="A38" s="489"/>
      <c r="B38" s="488"/>
      <c r="C38" s="39"/>
      <c r="D38" s="20"/>
      <c r="E38" s="12"/>
      <c r="F38" s="40">
        <f t="shared" si="2"/>
        <v>0</v>
      </c>
      <c r="G38" s="45"/>
      <c r="H38" s="12"/>
      <c r="I38" s="206">
        <f t="shared" si="3"/>
        <v>0</v>
      </c>
      <c r="J38" s="252"/>
      <c r="K38" s="252"/>
      <c r="L38" s="252"/>
      <c r="M38" s="252"/>
      <c r="N38" s="252"/>
      <c r="O38" s="252"/>
    </row>
    <row r="39" spans="1:26" ht="21.75" customHeight="1">
      <c r="A39" s="489"/>
      <c r="B39" s="488"/>
      <c r="C39" s="39"/>
      <c r="D39" s="20"/>
      <c r="E39" s="12"/>
      <c r="F39" s="40">
        <f t="shared" si="2"/>
        <v>0</v>
      </c>
      <c r="G39" s="45"/>
      <c r="H39" s="12"/>
      <c r="I39" s="206">
        <f t="shared" si="3"/>
        <v>0</v>
      </c>
      <c r="J39" s="252"/>
      <c r="K39" s="252"/>
      <c r="L39" s="252"/>
      <c r="M39" s="252"/>
      <c r="N39" s="252"/>
      <c r="O39" s="252"/>
    </row>
    <row r="40" spans="1:26" ht="21.75" customHeight="1">
      <c r="A40" s="489"/>
      <c r="B40" s="488"/>
      <c r="C40" s="39"/>
      <c r="D40" s="20"/>
      <c r="E40" s="12"/>
      <c r="F40" s="40">
        <f t="shared" si="2"/>
        <v>0</v>
      </c>
      <c r="G40" s="45"/>
      <c r="H40" s="12"/>
      <c r="I40" s="206">
        <f t="shared" si="3"/>
        <v>0</v>
      </c>
      <c r="J40" s="252"/>
      <c r="K40" s="252"/>
      <c r="L40" s="252"/>
      <c r="M40" s="252"/>
      <c r="N40" s="252"/>
      <c r="O40" s="252"/>
    </row>
    <row r="41" spans="1:26" ht="21.75" customHeight="1">
      <c r="A41" s="489"/>
      <c r="B41" s="488"/>
      <c r="C41" s="39"/>
      <c r="D41" s="20"/>
      <c r="E41" s="12"/>
      <c r="F41" s="40">
        <f t="shared" si="2"/>
        <v>0</v>
      </c>
      <c r="G41" s="45"/>
      <c r="H41" s="12"/>
      <c r="I41" s="206">
        <f t="shared" si="3"/>
        <v>0</v>
      </c>
      <c r="J41" s="252"/>
      <c r="K41" s="252"/>
      <c r="L41" s="252"/>
      <c r="M41" s="252"/>
      <c r="N41" s="252"/>
      <c r="O41" s="252"/>
    </row>
    <row r="42" spans="1:26" ht="21.75" customHeight="1">
      <c r="A42" s="489"/>
      <c r="B42" s="488"/>
      <c r="C42" s="39"/>
      <c r="D42" s="20"/>
      <c r="E42" s="12"/>
      <c r="F42" s="40">
        <f t="shared" si="2"/>
        <v>0</v>
      </c>
      <c r="G42" s="45"/>
      <c r="H42" s="12"/>
      <c r="I42" s="206">
        <f t="shared" si="3"/>
        <v>0</v>
      </c>
      <c r="J42" s="252"/>
      <c r="K42" s="252"/>
      <c r="L42" s="252"/>
      <c r="M42" s="252"/>
      <c r="N42" s="252"/>
      <c r="O42" s="252"/>
    </row>
    <row r="43" spans="1:26" ht="21.75" customHeight="1">
      <c r="A43" s="489"/>
      <c r="B43" s="488"/>
      <c r="C43" s="39"/>
      <c r="D43" s="20"/>
      <c r="E43" s="12"/>
      <c r="F43" s="40">
        <f t="shared" si="2"/>
        <v>0</v>
      </c>
      <c r="G43" s="45"/>
      <c r="H43" s="12"/>
      <c r="I43" s="206">
        <f t="shared" si="3"/>
        <v>0</v>
      </c>
      <c r="J43" s="252"/>
      <c r="K43" s="252"/>
      <c r="L43" s="252"/>
      <c r="M43" s="252"/>
      <c r="N43" s="252"/>
      <c r="O43" s="252"/>
    </row>
    <row r="44" spans="1:26" ht="21.75" customHeight="1">
      <c r="A44" s="489"/>
      <c r="B44" s="488"/>
      <c r="C44" s="39"/>
      <c r="D44" s="20"/>
      <c r="E44" s="12"/>
      <c r="F44" s="40">
        <f t="shared" si="2"/>
        <v>0</v>
      </c>
      <c r="G44" s="45"/>
      <c r="H44" s="12"/>
      <c r="I44" s="206">
        <f t="shared" si="3"/>
        <v>0</v>
      </c>
      <c r="J44" s="252"/>
      <c r="K44" s="252"/>
      <c r="L44" s="252"/>
      <c r="M44" s="252"/>
      <c r="N44" s="252"/>
      <c r="O44" s="252"/>
    </row>
    <row r="45" spans="1:26" ht="21.75" customHeight="1">
      <c r="A45" s="489"/>
      <c r="B45" s="488"/>
      <c r="C45" s="39"/>
      <c r="D45" s="20"/>
      <c r="E45" s="12"/>
      <c r="F45" s="40">
        <f t="shared" si="2"/>
        <v>0</v>
      </c>
      <c r="G45" s="45"/>
      <c r="H45" s="12"/>
      <c r="I45" s="206">
        <f t="shared" si="3"/>
        <v>0</v>
      </c>
      <c r="J45" s="252"/>
      <c r="K45" s="252"/>
      <c r="L45" s="252"/>
      <c r="M45" s="252"/>
      <c r="N45" s="252"/>
      <c r="O45" s="252"/>
    </row>
    <row r="46" spans="1:26" ht="21.75" customHeight="1">
      <c r="A46" s="489"/>
      <c r="B46" s="488"/>
      <c r="C46" s="39"/>
      <c r="D46" s="20"/>
      <c r="E46" s="12"/>
      <c r="F46" s="40">
        <f t="shared" si="2"/>
        <v>0</v>
      </c>
      <c r="G46" s="45"/>
      <c r="H46" s="12"/>
      <c r="I46" s="206">
        <f t="shared" si="3"/>
        <v>0</v>
      </c>
      <c r="J46" s="252"/>
      <c r="K46" s="252"/>
      <c r="L46" s="252"/>
      <c r="M46" s="252"/>
      <c r="N46" s="252"/>
      <c r="O46" s="252"/>
    </row>
    <row r="47" spans="1:26" ht="21.75" customHeight="1">
      <c r="A47" s="489"/>
      <c r="B47" s="488"/>
      <c r="C47" s="39"/>
      <c r="D47" s="20"/>
      <c r="E47" s="12"/>
      <c r="F47" s="40">
        <f t="shared" si="2"/>
        <v>0</v>
      </c>
      <c r="G47" s="45"/>
      <c r="H47" s="12"/>
      <c r="I47" s="206">
        <f t="shared" si="3"/>
        <v>0</v>
      </c>
      <c r="J47" s="252"/>
      <c r="K47" s="252"/>
      <c r="L47" s="252"/>
      <c r="M47" s="252"/>
      <c r="N47" s="252"/>
      <c r="O47" s="252"/>
    </row>
    <row r="48" spans="1:26" ht="21.75" customHeight="1">
      <c r="A48" s="489"/>
      <c r="B48" s="488"/>
      <c r="C48" s="39"/>
      <c r="D48" s="20"/>
      <c r="E48" s="12"/>
      <c r="F48" s="40">
        <f t="shared" si="2"/>
        <v>0</v>
      </c>
      <c r="G48" s="45"/>
      <c r="H48" s="12"/>
      <c r="I48" s="206">
        <f t="shared" si="3"/>
        <v>0</v>
      </c>
      <c r="J48" s="252"/>
      <c r="K48" s="252"/>
      <c r="L48" s="252"/>
      <c r="M48" s="252"/>
      <c r="N48" s="252"/>
      <c r="O48" s="252"/>
    </row>
    <row r="49" spans="1:15" ht="21.75" customHeight="1">
      <c r="A49" s="489"/>
      <c r="B49" s="488"/>
      <c r="C49" s="39"/>
      <c r="D49" s="20"/>
      <c r="E49" s="12"/>
      <c r="F49" s="40">
        <f t="shared" si="2"/>
        <v>0</v>
      </c>
      <c r="G49" s="45"/>
      <c r="H49" s="12"/>
      <c r="I49" s="206">
        <f t="shared" si="3"/>
        <v>0</v>
      </c>
      <c r="J49" s="252"/>
      <c r="K49" s="252"/>
      <c r="L49" s="252"/>
      <c r="M49" s="252"/>
      <c r="N49" s="252"/>
      <c r="O49" s="252"/>
    </row>
    <row r="50" spans="1:15" ht="21.75" customHeight="1">
      <c r="A50" s="489"/>
      <c r="B50" s="488"/>
      <c r="C50" s="39"/>
      <c r="D50" s="20"/>
      <c r="E50" s="12"/>
      <c r="F50" s="40">
        <f t="shared" si="2"/>
        <v>0</v>
      </c>
      <c r="G50" s="45"/>
      <c r="H50" s="12"/>
      <c r="I50" s="206">
        <f t="shared" si="3"/>
        <v>0</v>
      </c>
      <c r="J50" s="252"/>
      <c r="K50" s="252"/>
      <c r="L50" s="252"/>
      <c r="M50" s="252"/>
      <c r="N50" s="252"/>
      <c r="O50" s="252"/>
    </row>
    <row r="51" spans="1:15" ht="21.75" customHeight="1">
      <c r="A51" s="489"/>
      <c r="B51" s="488"/>
      <c r="C51" s="39"/>
      <c r="D51" s="20"/>
      <c r="E51" s="12"/>
      <c r="F51" s="40">
        <f t="shared" si="2"/>
        <v>0</v>
      </c>
      <c r="G51" s="45"/>
      <c r="H51" s="12"/>
      <c r="I51" s="206">
        <f t="shared" si="3"/>
        <v>0</v>
      </c>
      <c r="J51" s="252"/>
      <c r="K51" s="252"/>
      <c r="L51" s="252"/>
      <c r="M51" s="252"/>
      <c r="N51" s="252"/>
      <c r="O51" s="252"/>
    </row>
    <row r="52" spans="1:15" ht="21.75" customHeight="1">
      <c r="A52" s="489"/>
      <c r="B52" s="488"/>
      <c r="C52" s="39"/>
      <c r="D52" s="20"/>
      <c r="E52" s="12"/>
      <c r="F52" s="40">
        <f t="shared" si="2"/>
        <v>0</v>
      </c>
      <c r="G52" s="45"/>
      <c r="H52" s="12"/>
      <c r="I52" s="206">
        <f t="shared" si="3"/>
        <v>0</v>
      </c>
      <c r="J52" s="252"/>
      <c r="K52" s="252"/>
      <c r="L52" s="252"/>
      <c r="M52" s="252"/>
      <c r="N52" s="252"/>
      <c r="O52" s="252"/>
    </row>
    <row r="53" spans="1:15" ht="21.75" customHeight="1">
      <c r="A53" s="489"/>
      <c r="B53" s="488"/>
      <c r="C53" s="39"/>
      <c r="D53" s="20"/>
      <c r="E53" s="12"/>
      <c r="F53" s="40">
        <f t="shared" si="2"/>
        <v>0</v>
      </c>
      <c r="G53" s="45"/>
      <c r="H53" s="12"/>
      <c r="I53" s="206">
        <f t="shared" si="3"/>
        <v>0</v>
      </c>
      <c r="J53" s="252"/>
      <c r="K53" s="252"/>
      <c r="L53" s="252"/>
      <c r="M53" s="252"/>
      <c r="N53" s="252"/>
      <c r="O53" s="252"/>
    </row>
    <row r="54" spans="1:15" ht="21.75" customHeight="1">
      <c r="A54" s="489"/>
      <c r="B54" s="488"/>
      <c r="C54" s="39"/>
      <c r="D54" s="20"/>
      <c r="E54" s="12"/>
      <c r="F54" s="40">
        <f t="shared" si="2"/>
        <v>0</v>
      </c>
      <c r="G54" s="45"/>
      <c r="H54" s="12"/>
      <c r="I54" s="206">
        <f t="shared" si="3"/>
        <v>0</v>
      </c>
      <c r="J54" s="252"/>
      <c r="K54" s="252"/>
      <c r="L54" s="252"/>
      <c r="M54" s="252"/>
      <c r="N54" s="252"/>
      <c r="O54" s="252"/>
    </row>
    <row r="55" spans="1:15" ht="21.75" customHeight="1">
      <c r="A55" s="489"/>
      <c r="B55" s="488"/>
      <c r="C55" s="39"/>
      <c r="D55" s="20"/>
      <c r="E55" s="12"/>
      <c r="F55" s="40">
        <f t="shared" si="2"/>
        <v>0</v>
      </c>
      <c r="G55" s="45"/>
      <c r="H55" s="12"/>
      <c r="I55" s="206">
        <f t="shared" si="3"/>
        <v>0</v>
      </c>
      <c r="J55" s="252"/>
      <c r="K55" s="252"/>
      <c r="L55" s="252"/>
      <c r="M55" s="252"/>
      <c r="N55" s="252"/>
      <c r="O55" s="252"/>
    </row>
    <row r="56" spans="1:15" ht="21.75" customHeight="1">
      <c r="A56" s="489"/>
      <c r="B56" s="488"/>
      <c r="C56" s="39"/>
      <c r="D56" s="20"/>
      <c r="E56" s="12"/>
      <c r="F56" s="40">
        <f t="shared" si="2"/>
        <v>0</v>
      </c>
      <c r="G56" s="45"/>
      <c r="H56" s="12"/>
      <c r="I56" s="206">
        <f t="shared" si="3"/>
        <v>0</v>
      </c>
      <c r="J56" s="252"/>
      <c r="K56" s="252"/>
      <c r="L56" s="252"/>
      <c r="M56" s="252"/>
      <c r="N56" s="252"/>
      <c r="O56" s="252"/>
    </row>
    <row r="57" spans="1:15" ht="21.75" customHeight="1">
      <c r="A57" s="489"/>
      <c r="B57" s="488"/>
      <c r="C57" s="39"/>
      <c r="D57" s="20"/>
      <c r="E57" s="12"/>
      <c r="F57" s="40">
        <f t="shared" si="2"/>
        <v>0</v>
      </c>
      <c r="G57" s="45"/>
      <c r="H57" s="12"/>
      <c r="I57" s="206">
        <f t="shared" si="3"/>
        <v>0</v>
      </c>
      <c r="J57" s="252"/>
      <c r="K57" s="252"/>
      <c r="L57" s="252"/>
      <c r="M57" s="252"/>
      <c r="N57" s="252"/>
      <c r="O57" s="252"/>
    </row>
    <row r="58" spans="1:15" ht="21.75" customHeight="1">
      <c r="A58" s="489"/>
      <c r="B58" s="488"/>
      <c r="C58" s="39"/>
      <c r="D58" s="20"/>
      <c r="E58" s="12"/>
      <c r="F58" s="42">
        <f t="shared" si="2"/>
        <v>0</v>
      </c>
      <c r="G58" s="45"/>
      <c r="H58" s="12"/>
      <c r="I58" s="265">
        <f t="shared" si="3"/>
        <v>0</v>
      </c>
      <c r="J58" s="252"/>
      <c r="K58" s="252"/>
      <c r="L58" s="252"/>
      <c r="M58" s="252"/>
      <c r="N58" s="252"/>
      <c r="O58" s="252"/>
    </row>
    <row r="59" spans="1:15" ht="15.75" customHeight="1" thickBot="1">
      <c r="A59" s="46"/>
      <c r="B59" s="47"/>
      <c r="C59" s="473" t="s">
        <v>122</v>
      </c>
      <c r="D59" s="474"/>
      <c r="E59" s="475"/>
      <c r="F59" s="266">
        <f>SUM(F36:F58)</f>
        <v>0</v>
      </c>
      <c r="G59" s="473" t="s">
        <v>123</v>
      </c>
      <c r="H59" s="475"/>
      <c r="I59" s="266">
        <f>SUM(I36:I58)</f>
        <v>0</v>
      </c>
      <c r="J59" s="252"/>
      <c r="K59" s="252"/>
      <c r="L59" s="252"/>
      <c r="M59" s="252"/>
      <c r="N59" s="252"/>
      <c r="O59" s="252"/>
    </row>
    <row r="60" spans="1:15" ht="20.149999999999999" customHeight="1" thickBot="1">
      <c r="A60" s="469" t="s">
        <v>124</v>
      </c>
      <c r="B60" s="470"/>
      <c r="C60" s="470"/>
      <c r="D60" s="470"/>
      <c r="E60" s="470"/>
      <c r="F60" s="470"/>
      <c r="G60" s="470"/>
      <c r="H60" s="470"/>
      <c r="I60" s="267">
        <f>SUM(I59,F59)</f>
        <v>0</v>
      </c>
      <c r="J60" s="252"/>
      <c r="K60" s="252"/>
      <c r="L60" s="252"/>
      <c r="M60" s="252"/>
      <c r="N60" s="252"/>
      <c r="O60" s="252"/>
    </row>
    <row r="61" spans="1:15" ht="15.75" customHeight="1">
      <c r="A61" s="252"/>
      <c r="B61" s="252"/>
      <c r="C61" s="252"/>
      <c r="D61" s="252"/>
      <c r="E61" s="257"/>
      <c r="F61" s="252"/>
      <c r="G61" s="252"/>
      <c r="H61" s="252"/>
      <c r="I61" s="252"/>
      <c r="J61" s="252"/>
      <c r="K61" s="252"/>
      <c r="L61" s="252"/>
      <c r="M61" s="252"/>
      <c r="N61" s="252"/>
      <c r="O61" s="252"/>
    </row>
    <row r="62" spans="1:15" ht="15.75" customHeight="1">
      <c r="A62" s="252"/>
      <c r="B62" s="252"/>
      <c r="C62" s="252"/>
      <c r="D62" s="252"/>
      <c r="E62" s="257"/>
      <c r="F62" s="252"/>
      <c r="G62" s="252"/>
      <c r="H62" s="252"/>
      <c r="I62" s="252"/>
      <c r="J62" s="252"/>
      <c r="K62" s="252"/>
      <c r="L62" s="252"/>
      <c r="M62" s="252"/>
      <c r="N62" s="252"/>
      <c r="O62" s="252"/>
    </row>
    <row r="63" spans="1:15" ht="15.75" customHeight="1">
      <c r="A63" s="252"/>
      <c r="B63" s="252"/>
      <c r="C63" s="252"/>
      <c r="D63" s="252"/>
      <c r="E63" s="257"/>
      <c r="F63" s="252"/>
      <c r="G63" s="252"/>
      <c r="H63" s="252"/>
      <c r="I63" s="252"/>
      <c r="J63" s="252"/>
      <c r="K63" s="252"/>
      <c r="L63" s="252"/>
      <c r="M63" s="252"/>
      <c r="N63" s="252"/>
      <c r="O63" s="252"/>
    </row>
    <row r="64" spans="1:15" ht="15.75" customHeight="1">
      <c r="A64" s="252"/>
      <c r="B64" s="252"/>
      <c r="C64" s="252"/>
      <c r="D64" s="252"/>
      <c r="E64" s="257"/>
      <c r="F64" s="252"/>
      <c r="G64" s="252"/>
      <c r="H64" s="252"/>
      <c r="I64" s="252"/>
      <c r="J64" s="252"/>
      <c r="K64" s="252"/>
      <c r="L64" s="252"/>
      <c r="M64" s="252"/>
      <c r="N64" s="252"/>
      <c r="O64" s="252"/>
    </row>
    <row r="65" spans="1:15" ht="15.75" customHeight="1">
      <c r="A65" s="252"/>
      <c r="B65" s="252"/>
      <c r="C65" s="252"/>
      <c r="D65" s="252"/>
      <c r="E65" s="257"/>
      <c r="F65" s="252"/>
      <c r="G65" s="252"/>
      <c r="H65" s="252"/>
      <c r="I65" s="252"/>
      <c r="J65" s="252"/>
      <c r="K65" s="252"/>
      <c r="L65" s="252"/>
      <c r="M65" s="252"/>
      <c r="N65" s="252"/>
      <c r="O65" s="252"/>
    </row>
    <row r="66" spans="1:15" ht="15.75" customHeight="1">
      <c r="A66" s="252"/>
      <c r="B66" s="252"/>
      <c r="C66" s="252"/>
      <c r="D66" s="252"/>
      <c r="E66" s="257"/>
      <c r="F66" s="252"/>
      <c r="G66" s="252"/>
      <c r="H66" s="252"/>
      <c r="I66" s="252"/>
      <c r="J66" s="252"/>
      <c r="K66" s="252"/>
      <c r="L66" s="252"/>
      <c r="M66" s="252"/>
      <c r="N66" s="252"/>
      <c r="O66" s="252"/>
    </row>
    <row r="67" spans="1:15" ht="15.75" customHeight="1">
      <c r="A67" s="252"/>
      <c r="B67" s="252"/>
      <c r="C67" s="252"/>
      <c r="D67" s="252"/>
      <c r="E67" s="257"/>
      <c r="F67" s="252"/>
      <c r="G67" s="252"/>
      <c r="H67" s="252"/>
      <c r="I67" s="252"/>
      <c r="J67" s="252"/>
      <c r="K67" s="252"/>
      <c r="L67" s="252"/>
      <c r="M67" s="252"/>
      <c r="N67" s="252"/>
      <c r="O67" s="252"/>
    </row>
    <row r="68" spans="1:15" ht="15.75" customHeight="1">
      <c r="A68" s="252"/>
      <c r="B68" s="252"/>
      <c r="C68" s="252"/>
      <c r="D68" s="252"/>
      <c r="E68" s="257"/>
      <c r="F68" s="252"/>
      <c r="G68" s="252"/>
      <c r="H68" s="252"/>
      <c r="I68" s="252"/>
      <c r="J68" s="252"/>
      <c r="K68" s="252"/>
      <c r="L68" s="252"/>
      <c r="M68" s="252"/>
      <c r="N68" s="252"/>
      <c r="O68" s="252"/>
    </row>
    <row r="69" spans="1:15" ht="15.75" customHeight="1">
      <c r="A69" s="252"/>
      <c r="B69" s="252"/>
      <c r="C69" s="252"/>
      <c r="D69" s="252"/>
      <c r="E69" s="257"/>
      <c r="F69" s="252"/>
      <c r="G69" s="252"/>
      <c r="H69" s="252"/>
      <c r="I69" s="252"/>
      <c r="J69" s="252"/>
      <c r="K69" s="252"/>
      <c r="L69" s="252"/>
      <c r="M69" s="252"/>
      <c r="N69" s="252"/>
      <c r="O69" s="252"/>
    </row>
    <row r="70" spans="1:15" ht="15.75" customHeight="1">
      <c r="E70" s="9"/>
    </row>
    <row r="71" spans="1:15" ht="15.75" customHeight="1">
      <c r="E71" s="9"/>
    </row>
    <row r="72" spans="1:15" ht="15.75" customHeight="1">
      <c r="E72" s="9"/>
    </row>
    <row r="73" spans="1:15" ht="15.75" customHeight="1">
      <c r="E73" s="9"/>
    </row>
    <row r="74" spans="1:15" ht="15.75" customHeight="1">
      <c r="E74" s="9"/>
    </row>
    <row r="75" spans="1:15" ht="15.75" customHeight="1">
      <c r="E75" s="9"/>
    </row>
    <row r="76" spans="1:15" ht="15.75" customHeight="1">
      <c r="E76" s="9"/>
    </row>
    <row r="77" spans="1:15" ht="15.75" customHeight="1">
      <c r="E77" s="9"/>
    </row>
    <row r="78" spans="1:15" ht="15.75" customHeight="1">
      <c r="E78" s="9"/>
    </row>
    <row r="79" spans="1:15" ht="15.75" customHeight="1">
      <c r="E79" s="9"/>
    </row>
    <row r="80" spans="1:1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row r="1004" spans="5:5" ht="15.75" customHeight="1">
      <c r="E1004" s="9"/>
    </row>
    <row r="1005" spans="5:5" ht="15.75" customHeight="1">
      <c r="E1005" s="9"/>
    </row>
    <row r="1006" spans="5:5" ht="15.75" customHeight="1">
      <c r="E1006" s="9"/>
    </row>
    <row r="1007" spans="5:5" ht="15.75" customHeight="1">
      <c r="E1007" s="9"/>
    </row>
    <row r="1008" spans="5:5" ht="15.75" customHeight="1">
      <c r="E1008" s="9"/>
    </row>
    <row r="1009" spans="5:5" ht="15.75" customHeight="1">
      <c r="E1009" s="9"/>
    </row>
    <row r="1010" spans="5:5" ht="15.75" customHeight="1">
      <c r="E1010" s="9"/>
    </row>
    <row r="1011" spans="5:5" ht="15.75" customHeight="1">
      <c r="E1011" s="9"/>
    </row>
    <row r="1012" spans="5:5" ht="15.75" customHeight="1">
      <c r="E1012" s="9"/>
    </row>
    <row r="1013" spans="5:5" ht="15.75" customHeight="1">
      <c r="E1013" s="9"/>
    </row>
    <row r="1014" spans="5:5" ht="15.75" customHeight="1">
      <c r="E1014" s="9"/>
    </row>
    <row r="1015" spans="5:5" ht="15.75" customHeight="1">
      <c r="E1015" s="9"/>
    </row>
    <row r="1016" spans="5:5" ht="15.75" customHeight="1">
      <c r="E1016" s="9"/>
    </row>
    <row r="1017" spans="5:5" ht="15.75" customHeight="1">
      <c r="E1017" s="9"/>
    </row>
    <row r="1018" spans="5:5" ht="15.75" customHeight="1">
      <c r="E1018" s="9"/>
    </row>
    <row r="1019" spans="5:5" ht="15.75" customHeight="1">
      <c r="E1019" s="9"/>
    </row>
    <row r="1020" spans="5:5" ht="15.75" customHeight="1">
      <c r="E1020" s="9"/>
    </row>
    <row r="1021" spans="5:5" ht="15.75" customHeight="1">
      <c r="E1021" s="9"/>
    </row>
    <row r="1022" spans="5:5" ht="15.75" customHeight="1">
      <c r="E1022" s="9"/>
    </row>
    <row r="1023" spans="5:5" ht="15.75" customHeight="1">
      <c r="E1023" s="9"/>
    </row>
    <row r="1024" spans="5:5" ht="15.75" customHeight="1">
      <c r="E1024" s="9"/>
    </row>
    <row r="1025" spans="5:5" ht="15.75" customHeight="1">
      <c r="E1025" s="9"/>
    </row>
  </sheetData>
  <mergeCells count="63">
    <mergeCell ref="A15:B15"/>
    <mergeCell ref="A14:B14"/>
    <mergeCell ref="A13:B13"/>
    <mergeCell ref="A11:B11"/>
    <mergeCell ref="A38:B38"/>
    <mergeCell ref="A17:B17"/>
    <mergeCell ref="A16:B16"/>
    <mergeCell ref="A12:B12"/>
    <mergeCell ref="A39:B39"/>
    <mergeCell ref="A21:B21"/>
    <mergeCell ref="A20:B20"/>
    <mergeCell ref="A19:B19"/>
    <mergeCell ref="A18:B18"/>
    <mergeCell ref="A22:B22"/>
    <mergeCell ref="A37:B37"/>
    <mergeCell ref="A30:B30"/>
    <mergeCell ref="A24:B24"/>
    <mergeCell ref="A25:B25"/>
    <mergeCell ref="A26:B26"/>
    <mergeCell ref="A27:B27"/>
    <mergeCell ref="A28:B28"/>
    <mergeCell ref="A29:B29"/>
    <mergeCell ref="A58:B58"/>
    <mergeCell ref="C59:E59"/>
    <mergeCell ref="G59:H59"/>
    <mergeCell ref="A60:H60"/>
    <mergeCell ref="A23:B23"/>
    <mergeCell ref="A40:B40"/>
    <mergeCell ref="A41:B41"/>
    <mergeCell ref="A42:B42"/>
    <mergeCell ref="A43:B43"/>
    <mergeCell ref="A52:B52"/>
    <mergeCell ref="A53:B53"/>
    <mergeCell ref="A54:B54"/>
    <mergeCell ref="A55:B55"/>
    <mergeCell ref="A56:B56"/>
    <mergeCell ref="A57:B57"/>
    <mergeCell ref="A36:B36"/>
    <mergeCell ref="A48:B48"/>
    <mergeCell ref="A49:B49"/>
    <mergeCell ref="A50:B50"/>
    <mergeCell ref="A51:B51"/>
    <mergeCell ref="A44:B44"/>
    <mergeCell ref="A45:B45"/>
    <mergeCell ref="A46:B46"/>
    <mergeCell ref="A47:B47"/>
    <mergeCell ref="C31:E31"/>
    <mergeCell ref="G31:H31"/>
    <mergeCell ref="A32:H32"/>
    <mergeCell ref="A33:I33"/>
    <mergeCell ref="A34:B35"/>
    <mergeCell ref="C34:F34"/>
    <mergeCell ref="G34:I34"/>
    <mergeCell ref="A6:B6"/>
    <mergeCell ref="A7:B7"/>
    <mergeCell ref="A8:B8"/>
    <mergeCell ref="A9:B9"/>
    <mergeCell ref="A10:B10"/>
    <mergeCell ref="A3:I3"/>
    <mergeCell ref="A4:B5"/>
    <mergeCell ref="C4:F4"/>
    <mergeCell ref="G4:I4"/>
    <mergeCell ref="A1:F2"/>
  </mergeCells>
  <conditionalFormatting sqref="G2:H2">
    <cfRule type="expression" dxfId="17" priority="1" stopIfTrue="1">
      <formula>"MM/DD/YY"</formula>
    </cfRule>
  </conditionalFormatting>
  <printOptions horizontalCentered="1"/>
  <pageMargins left="0.75" right="0.75" top="1" bottom="1" header="0" footer="0"/>
  <pageSetup scale="74" fitToHeight="0" orientation="portrait" r:id="rId1"/>
  <rowBreaks count="1" manualBreakCount="1">
    <brk id="32" max="16383" man="1"/>
  </rowBreaks>
  <drawing r:id="rId2"/>
  <legacyDrawing r:id="rId3"/>
  <controls>
    <mc:AlternateContent xmlns:mc="http://schemas.openxmlformats.org/markup-compatibility/2006">
      <mc:Choice Requires="x14">
        <control shapeId="12289" r:id="rId4" name="CommandButton1">
          <controlPr defaultSize="0" autoLine="0" altText="Add A Row Command Button" r:id="rId5">
            <anchor moveWithCells="1">
              <from>
                <xdr:col>9</xdr:col>
                <xdr:colOff>279400</xdr:colOff>
                <xdr:row>28</xdr:row>
                <xdr:rowOff>266700</xdr:rowOff>
              </from>
              <to>
                <xdr:col>11</xdr:col>
                <xdr:colOff>406400</xdr:colOff>
                <xdr:row>30</xdr:row>
                <xdr:rowOff>6350</xdr:rowOff>
              </to>
            </anchor>
          </controlPr>
        </control>
      </mc:Choice>
      <mc:Fallback>
        <control shapeId="12289" r:id="rId4" name="CommandButton1"/>
      </mc:Fallback>
    </mc:AlternateContent>
  </control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8A4A3-9FEC-48EE-A37A-F71F65677611}">
  <sheetPr codeName="Sheet12">
    <pageSetUpPr fitToPage="1"/>
  </sheetPr>
  <dimension ref="A1:Z1025"/>
  <sheetViews>
    <sheetView topLeftCell="C18" zoomScaleNormal="100" zoomScaleSheetLayoutView="9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thickTop="1">
      <c r="A1" s="483" t="s">
        <v>168</v>
      </c>
      <c r="B1" s="484"/>
      <c r="C1" s="484"/>
      <c r="D1" s="484"/>
      <c r="E1" s="484"/>
      <c r="F1" s="484"/>
      <c r="G1" s="268" t="s">
        <v>165</v>
      </c>
      <c r="H1" s="269"/>
      <c r="I1" s="270" t="s">
        <v>166</v>
      </c>
      <c r="J1" s="252"/>
      <c r="K1" s="252"/>
      <c r="L1" s="252"/>
      <c r="M1" s="252"/>
      <c r="N1" s="252"/>
      <c r="O1" s="252"/>
    </row>
    <row r="2" spans="1:26" ht="15" customHeight="1" thickBot="1">
      <c r="A2" s="388"/>
      <c r="B2" s="389"/>
      <c r="C2" s="389"/>
      <c r="D2" s="389"/>
      <c r="E2" s="389"/>
      <c r="F2" s="389"/>
      <c r="G2" s="163" t="str">
        <f>IF(INPUT!C3=0,"",INPUT!C3)</f>
        <v>RLP # 36C248-25-R-0110 – EXHIBIT K</v>
      </c>
      <c r="H2" s="163"/>
      <c r="I2" s="164" t="str">
        <f>IF(INPUT!C10=0,"",INPUT!C10)</f>
        <v/>
      </c>
      <c r="J2" s="252"/>
      <c r="K2" s="252"/>
      <c r="L2" s="252"/>
      <c r="M2" s="252"/>
      <c r="N2" s="252"/>
      <c r="O2" s="252"/>
    </row>
    <row r="3" spans="1:26" s="10" customFormat="1" ht="36" customHeight="1" thickBot="1">
      <c r="A3" s="480" t="s">
        <v>170</v>
      </c>
      <c r="B3" s="402"/>
      <c r="C3" s="402"/>
      <c r="D3" s="402"/>
      <c r="E3" s="402"/>
      <c r="F3" s="402"/>
      <c r="G3" s="402"/>
      <c r="H3" s="402"/>
      <c r="I3" s="403"/>
      <c r="J3" s="253"/>
      <c r="K3" s="253"/>
      <c r="L3" s="253"/>
      <c r="M3" s="253"/>
      <c r="N3" s="253"/>
      <c r="O3" s="253"/>
    </row>
    <row r="4" spans="1:26" ht="15.5">
      <c r="A4" s="452" t="s">
        <v>93</v>
      </c>
      <c r="B4" s="453"/>
      <c r="C4" s="390" t="s">
        <v>91</v>
      </c>
      <c r="D4" s="382"/>
      <c r="E4" s="382"/>
      <c r="F4" s="383"/>
      <c r="G4" s="381" t="s">
        <v>92</v>
      </c>
      <c r="H4" s="382"/>
      <c r="I4" s="383"/>
      <c r="J4" s="252"/>
      <c r="K4" s="252"/>
      <c r="L4" s="252"/>
      <c r="M4" s="252"/>
      <c r="N4" s="252"/>
      <c r="O4" s="252"/>
    </row>
    <row r="5" spans="1:26" ht="15.75" customHeight="1" thickBot="1">
      <c r="A5" s="454"/>
      <c r="B5" s="455"/>
      <c r="C5" s="37" t="s">
        <v>129</v>
      </c>
      <c r="D5" s="27" t="s">
        <v>95</v>
      </c>
      <c r="E5" s="28" t="s">
        <v>61</v>
      </c>
      <c r="F5" s="38" t="s">
        <v>79</v>
      </c>
      <c r="G5" s="44" t="s">
        <v>96</v>
      </c>
      <c r="H5" s="30" t="s">
        <v>85</v>
      </c>
      <c r="I5" s="31" t="s">
        <v>79</v>
      </c>
      <c r="J5" s="252"/>
      <c r="K5" s="252"/>
      <c r="L5" s="252"/>
      <c r="M5" s="252"/>
      <c r="N5" s="252"/>
      <c r="O5" s="252"/>
    </row>
    <row r="6" spans="1:26" ht="21.75" customHeight="1">
      <c r="A6" s="476" t="s">
        <v>149</v>
      </c>
      <c r="B6" s="472"/>
      <c r="C6" s="34">
        <v>1</v>
      </c>
      <c r="D6" s="19" t="s">
        <v>148</v>
      </c>
      <c r="E6" s="11">
        <v>0</v>
      </c>
      <c r="F6" s="260">
        <f t="shared" ref="F6:F30" si="0">C6*E6</f>
        <v>0</v>
      </c>
      <c r="G6" s="34">
        <v>1</v>
      </c>
      <c r="H6" s="17">
        <v>0</v>
      </c>
      <c r="I6" s="261">
        <f t="shared" ref="I6:I30" si="1">G6*H6</f>
        <v>0</v>
      </c>
      <c r="J6" s="254"/>
      <c r="K6" s="254"/>
      <c r="L6" s="254"/>
      <c r="M6" s="254"/>
      <c r="N6" s="254"/>
      <c r="O6" s="254"/>
      <c r="P6" s="6"/>
      <c r="Q6" s="6"/>
      <c r="R6" s="6"/>
      <c r="S6" s="6"/>
      <c r="T6" s="6"/>
      <c r="U6" s="6"/>
      <c r="V6" s="6"/>
      <c r="W6" s="6"/>
      <c r="X6" s="6"/>
      <c r="Y6" s="6"/>
      <c r="Z6" s="6"/>
    </row>
    <row r="7" spans="1:26" ht="21.75" customHeight="1">
      <c r="A7" s="487"/>
      <c r="B7" s="488"/>
      <c r="C7" s="34"/>
      <c r="D7" s="19"/>
      <c r="E7" s="11"/>
      <c r="F7" s="260">
        <f>C7*E7</f>
        <v>0</v>
      </c>
      <c r="G7" s="43"/>
      <c r="H7" s="18"/>
      <c r="I7" s="179">
        <f t="shared" si="1"/>
        <v>0</v>
      </c>
      <c r="J7" s="254"/>
      <c r="K7" s="254"/>
      <c r="L7" s="254"/>
      <c r="M7" s="254"/>
      <c r="N7" s="254"/>
      <c r="O7" s="254"/>
      <c r="P7" s="6"/>
      <c r="Q7" s="6"/>
      <c r="R7" s="6"/>
      <c r="S7" s="6"/>
      <c r="T7" s="6"/>
      <c r="U7" s="6"/>
      <c r="V7" s="6"/>
      <c r="W7" s="6"/>
      <c r="X7" s="6"/>
      <c r="Y7" s="6"/>
      <c r="Z7" s="6"/>
    </row>
    <row r="8" spans="1:26" ht="21.75" customHeight="1">
      <c r="A8" s="487"/>
      <c r="B8" s="488"/>
      <c r="C8" s="34"/>
      <c r="D8" s="19"/>
      <c r="E8" s="11"/>
      <c r="F8" s="262">
        <f t="shared" si="0"/>
        <v>0</v>
      </c>
      <c r="G8" s="43"/>
      <c r="H8" s="18"/>
      <c r="I8" s="179">
        <f t="shared" si="1"/>
        <v>0</v>
      </c>
      <c r="J8" s="254"/>
      <c r="K8" s="254"/>
      <c r="L8" s="254"/>
      <c r="M8" s="254"/>
      <c r="N8" s="254"/>
      <c r="O8" s="254"/>
      <c r="P8" s="6"/>
      <c r="Q8" s="6"/>
      <c r="R8" s="6"/>
      <c r="S8" s="6"/>
      <c r="T8" s="6"/>
      <c r="U8" s="6"/>
      <c r="V8" s="6"/>
      <c r="W8" s="6"/>
      <c r="X8" s="6"/>
      <c r="Y8" s="6"/>
      <c r="Z8" s="6"/>
    </row>
    <row r="9" spans="1:26" ht="21.75" customHeight="1">
      <c r="A9" s="487"/>
      <c r="B9" s="488"/>
      <c r="C9" s="34"/>
      <c r="D9" s="19"/>
      <c r="E9" s="11"/>
      <c r="F9" s="262">
        <f t="shared" si="0"/>
        <v>0</v>
      </c>
      <c r="G9" s="43"/>
      <c r="H9" s="18"/>
      <c r="I9" s="179">
        <f t="shared" si="1"/>
        <v>0</v>
      </c>
      <c r="J9" s="254"/>
      <c r="K9" s="254"/>
      <c r="L9" s="254"/>
      <c r="M9" s="254"/>
      <c r="N9" s="254"/>
      <c r="O9" s="254"/>
      <c r="P9" s="6"/>
      <c r="Q9" s="6"/>
      <c r="R9" s="6"/>
      <c r="S9" s="6"/>
      <c r="T9" s="6"/>
      <c r="U9" s="6"/>
      <c r="V9" s="6"/>
      <c r="W9" s="6"/>
      <c r="X9" s="6"/>
      <c r="Y9" s="6"/>
      <c r="Z9" s="6"/>
    </row>
    <row r="10" spans="1:26" ht="21.75" customHeight="1">
      <c r="A10" s="487"/>
      <c r="B10" s="488"/>
      <c r="C10" s="34"/>
      <c r="D10" s="19"/>
      <c r="E10" s="11"/>
      <c r="F10" s="260">
        <f t="shared" si="0"/>
        <v>0</v>
      </c>
      <c r="G10" s="43"/>
      <c r="H10" s="18"/>
      <c r="I10" s="179">
        <f t="shared" si="1"/>
        <v>0</v>
      </c>
      <c r="J10" s="254"/>
      <c r="K10" s="254"/>
      <c r="L10" s="254"/>
      <c r="M10" s="254"/>
      <c r="N10" s="254"/>
      <c r="O10" s="254"/>
      <c r="P10" s="6"/>
      <c r="Q10" s="6"/>
      <c r="R10" s="6"/>
      <c r="S10" s="6"/>
      <c r="T10" s="6"/>
      <c r="U10" s="6"/>
      <c r="V10" s="6"/>
      <c r="W10" s="6"/>
      <c r="X10" s="6"/>
      <c r="Y10" s="6"/>
      <c r="Z10" s="6"/>
    </row>
    <row r="11" spans="1:26" ht="21.75" customHeight="1">
      <c r="A11" s="490"/>
      <c r="B11" s="491"/>
      <c r="C11" s="34"/>
      <c r="D11" s="19"/>
      <c r="E11" s="11"/>
      <c r="F11" s="260">
        <f t="shared" si="0"/>
        <v>0</v>
      </c>
      <c r="G11" s="43"/>
      <c r="H11" s="18"/>
      <c r="I11" s="179">
        <f t="shared" si="1"/>
        <v>0</v>
      </c>
      <c r="J11" s="254"/>
      <c r="K11" s="254"/>
      <c r="L11" s="254"/>
      <c r="M11" s="254"/>
      <c r="N11" s="254"/>
      <c r="O11" s="254"/>
      <c r="P11" s="6"/>
      <c r="Q11" s="6"/>
      <c r="R11" s="6"/>
      <c r="S11" s="6"/>
      <c r="T11" s="6"/>
      <c r="U11" s="6"/>
      <c r="V11" s="6"/>
      <c r="W11" s="6"/>
      <c r="X11" s="6"/>
      <c r="Y11" s="6"/>
      <c r="Z11" s="6"/>
    </row>
    <row r="12" spans="1:26" ht="21.75" customHeight="1">
      <c r="A12" s="487"/>
      <c r="B12" s="488"/>
      <c r="C12" s="34"/>
      <c r="D12" s="19"/>
      <c r="E12" s="11"/>
      <c r="F12" s="260">
        <f t="shared" si="0"/>
        <v>0</v>
      </c>
      <c r="G12" s="43"/>
      <c r="H12" s="18"/>
      <c r="I12" s="179">
        <f t="shared" si="1"/>
        <v>0</v>
      </c>
      <c r="J12" s="254"/>
      <c r="K12" s="254"/>
      <c r="L12" s="254"/>
      <c r="M12" s="254"/>
      <c r="N12" s="254"/>
      <c r="O12" s="254"/>
      <c r="P12" s="6"/>
      <c r="Q12" s="6"/>
      <c r="R12" s="6"/>
      <c r="S12" s="6"/>
      <c r="T12" s="6"/>
      <c r="U12" s="6"/>
      <c r="V12" s="6"/>
      <c r="W12" s="6"/>
      <c r="X12" s="6"/>
      <c r="Y12" s="6"/>
      <c r="Z12" s="6"/>
    </row>
    <row r="13" spans="1:26" ht="21.75" customHeight="1">
      <c r="A13" s="490"/>
      <c r="B13" s="491"/>
      <c r="C13" s="34"/>
      <c r="D13" s="19"/>
      <c r="E13" s="11"/>
      <c r="F13" s="260">
        <f t="shared" si="0"/>
        <v>0</v>
      </c>
      <c r="G13" s="43"/>
      <c r="H13" s="18"/>
      <c r="I13" s="179">
        <f t="shared" si="1"/>
        <v>0</v>
      </c>
      <c r="J13" s="254"/>
      <c r="K13" s="254"/>
      <c r="L13" s="254"/>
      <c r="M13" s="254"/>
      <c r="N13" s="254"/>
      <c r="O13" s="254"/>
      <c r="P13" s="6"/>
      <c r="Q13" s="6"/>
      <c r="R13" s="6"/>
      <c r="S13" s="6"/>
      <c r="T13" s="6"/>
      <c r="U13" s="6"/>
      <c r="V13" s="6"/>
      <c r="W13" s="6"/>
      <c r="X13" s="6"/>
      <c r="Y13" s="6"/>
      <c r="Z13" s="6"/>
    </row>
    <row r="14" spans="1:26" ht="21.75" customHeight="1">
      <c r="A14" s="490"/>
      <c r="B14" s="491"/>
      <c r="C14" s="34"/>
      <c r="D14" s="19"/>
      <c r="E14" s="11"/>
      <c r="F14" s="260">
        <f t="shared" si="0"/>
        <v>0</v>
      </c>
      <c r="G14" s="43"/>
      <c r="H14" s="18"/>
      <c r="I14" s="179">
        <f t="shared" si="1"/>
        <v>0</v>
      </c>
      <c r="J14" s="254"/>
      <c r="K14" s="254"/>
      <c r="L14" s="254"/>
      <c r="M14" s="254"/>
      <c r="N14" s="254"/>
      <c r="O14" s="254"/>
      <c r="P14" s="6"/>
      <c r="Q14" s="6"/>
      <c r="R14" s="6"/>
      <c r="S14" s="6"/>
      <c r="T14" s="6"/>
      <c r="U14" s="6"/>
      <c r="V14" s="6"/>
      <c r="W14" s="6"/>
      <c r="X14" s="6"/>
      <c r="Y14" s="6"/>
      <c r="Z14" s="6"/>
    </row>
    <row r="15" spans="1:26" ht="21.75" customHeight="1">
      <c r="A15" s="490"/>
      <c r="B15" s="491"/>
      <c r="C15" s="34"/>
      <c r="D15" s="19"/>
      <c r="E15" s="11"/>
      <c r="F15" s="260">
        <f t="shared" si="0"/>
        <v>0</v>
      </c>
      <c r="G15" s="43"/>
      <c r="H15" s="18"/>
      <c r="I15" s="179">
        <f t="shared" si="1"/>
        <v>0</v>
      </c>
      <c r="J15" s="254"/>
      <c r="K15" s="254"/>
      <c r="L15" s="254"/>
      <c r="M15" s="254"/>
      <c r="N15" s="254"/>
      <c r="O15" s="254"/>
      <c r="P15" s="6"/>
      <c r="Q15" s="6"/>
      <c r="R15" s="6"/>
      <c r="S15" s="6"/>
      <c r="T15" s="6"/>
      <c r="U15" s="6"/>
      <c r="V15" s="6"/>
      <c r="W15" s="6"/>
      <c r="X15" s="6"/>
      <c r="Y15" s="6"/>
      <c r="Z15" s="6"/>
    </row>
    <row r="16" spans="1:26" ht="21.75" customHeight="1">
      <c r="A16" s="490"/>
      <c r="B16" s="491"/>
      <c r="C16" s="34"/>
      <c r="D16" s="19"/>
      <c r="E16" s="11"/>
      <c r="F16" s="260">
        <f t="shared" si="0"/>
        <v>0</v>
      </c>
      <c r="G16" s="43"/>
      <c r="H16" s="18"/>
      <c r="I16" s="179">
        <f t="shared" si="1"/>
        <v>0</v>
      </c>
      <c r="J16" s="254"/>
      <c r="K16" s="254"/>
      <c r="L16" s="254"/>
      <c r="M16" s="254"/>
      <c r="N16" s="254"/>
      <c r="O16" s="254"/>
      <c r="P16" s="6"/>
      <c r="Q16" s="6"/>
      <c r="R16" s="6"/>
      <c r="S16" s="6"/>
      <c r="T16" s="6"/>
      <c r="U16" s="6"/>
      <c r="V16" s="6"/>
      <c r="W16" s="6"/>
      <c r="X16" s="6"/>
      <c r="Y16" s="6"/>
      <c r="Z16" s="6"/>
    </row>
    <row r="17" spans="1:26" ht="21.75" customHeight="1">
      <c r="A17" s="490"/>
      <c r="B17" s="491"/>
      <c r="C17" s="34"/>
      <c r="D17" s="19"/>
      <c r="E17" s="11"/>
      <c r="F17" s="260">
        <f t="shared" si="0"/>
        <v>0</v>
      </c>
      <c r="G17" s="43"/>
      <c r="H17" s="18"/>
      <c r="I17" s="179">
        <f t="shared" si="1"/>
        <v>0</v>
      </c>
      <c r="J17" s="254"/>
      <c r="K17" s="254"/>
      <c r="L17" s="254"/>
      <c r="M17" s="254"/>
      <c r="N17" s="254"/>
      <c r="O17" s="254"/>
      <c r="P17" s="6"/>
      <c r="Q17" s="6"/>
      <c r="R17" s="6"/>
      <c r="S17" s="6"/>
      <c r="T17" s="6"/>
      <c r="U17" s="6"/>
      <c r="V17" s="6"/>
      <c r="W17" s="6"/>
      <c r="X17" s="6"/>
      <c r="Y17" s="6"/>
      <c r="Z17" s="6"/>
    </row>
    <row r="18" spans="1:26" ht="21.75" customHeight="1">
      <c r="A18" s="490"/>
      <c r="B18" s="491"/>
      <c r="C18" s="34"/>
      <c r="D18" s="19"/>
      <c r="E18" s="11"/>
      <c r="F18" s="260">
        <f t="shared" si="0"/>
        <v>0</v>
      </c>
      <c r="G18" s="43"/>
      <c r="H18" s="18"/>
      <c r="I18" s="179">
        <f t="shared" si="1"/>
        <v>0</v>
      </c>
      <c r="J18" s="254"/>
      <c r="K18" s="254"/>
      <c r="L18" s="254"/>
      <c r="M18" s="254"/>
      <c r="N18" s="254"/>
      <c r="O18" s="254"/>
      <c r="P18" s="6"/>
      <c r="Q18" s="6"/>
      <c r="R18" s="6"/>
      <c r="S18" s="6"/>
      <c r="T18" s="6"/>
      <c r="U18" s="6"/>
      <c r="V18" s="6"/>
      <c r="W18" s="6"/>
      <c r="X18" s="6"/>
      <c r="Y18" s="6"/>
      <c r="Z18" s="6"/>
    </row>
    <row r="19" spans="1:26" ht="21.75" customHeight="1">
      <c r="A19" s="490"/>
      <c r="B19" s="491"/>
      <c r="C19" s="34"/>
      <c r="D19" s="19"/>
      <c r="E19" s="11"/>
      <c r="F19" s="260">
        <f t="shared" si="0"/>
        <v>0</v>
      </c>
      <c r="G19" s="43"/>
      <c r="H19" s="18"/>
      <c r="I19" s="179">
        <f t="shared" si="1"/>
        <v>0</v>
      </c>
      <c r="J19" s="254"/>
      <c r="K19" s="254"/>
      <c r="L19" s="254"/>
      <c r="M19" s="254"/>
      <c r="N19" s="254"/>
      <c r="O19" s="254"/>
      <c r="P19" s="6"/>
      <c r="Q19" s="6"/>
      <c r="R19" s="6"/>
      <c r="S19" s="6"/>
      <c r="T19" s="6"/>
      <c r="U19" s="6"/>
      <c r="V19" s="6"/>
      <c r="W19" s="6"/>
      <c r="X19" s="6"/>
      <c r="Y19" s="6"/>
      <c r="Z19" s="6"/>
    </row>
    <row r="20" spans="1:26" ht="21.75" customHeight="1">
      <c r="A20" s="490"/>
      <c r="B20" s="491"/>
      <c r="C20" s="34"/>
      <c r="D20" s="19"/>
      <c r="E20" s="11"/>
      <c r="F20" s="260">
        <f t="shared" si="0"/>
        <v>0</v>
      </c>
      <c r="G20" s="43"/>
      <c r="H20" s="18"/>
      <c r="I20" s="179">
        <f t="shared" si="1"/>
        <v>0</v>
      </c>
      <c r="J20" s="254"/>
      <c r="K20" s="254"/>
      <c r="L20" s="254"/>
      <c r="M20" s="254"/>
      <c r="N20" s="254"/>
      <c r="O20" s="254"/>
      <c r="P20" s="6"/>
      <c r="Q20" s="6"/>
      <c r="R20" s="6"/>
      <c r="S20" s="6"/>
      <c r="T20" s="6"/>
      <c r="U20" s="6"/>
      <c r="V20" s="6"/>
      <c r="W20" s="6"/>
      <c r="X20" s="6"/>
      <c r="Y20" s="6"/>
      <c r="Z20" s="6"/>
    </row>
    <row r="21" spans="1:26" ht="21.75" customHeight="1">
      <c r="A21" s="490"/>
      <c r="B21" s="491"/>
      <c r="C21" s="34"/>
      <c r="D21" s="19"/>
      <c r="E21" s="11"/>
      <c r="F21" s="260">
        <f t="shared" si="0"/>
        <v>0</v>
      </c>
      <c r="G21" s="43"/>
      <c r="H21" s="18"/>
      <c r="I21" s="179">
        <f t="shared" si="1"/>
        <v>0</v>
      </c>
      <c r="J21" s="254"/>
      <c r="K21" s="254"/>
      <c r="L21" s="254"/>
      <c r="M21" s="254"/>
      <c r="N21" s="254"/>
      <c r="O21" s="254"/>
      <c r="P21" s="6"/>
      <c r="Q21" s="6"/>
      <c r="R21" s="6"/>
      <c r="S21" s="6"/>
      <c r="T21" s="6"/>
      <c r="U21" s="6"/>
      <c r="V21" s="6"/>
      <c r="W21" s="6"/>
      <c r="X21" s="6"/>
      <c r="Y21" s="6"/>
      <c r="Z21" s="6"/>
    </row>
    <row r="22" spans="1:26" ht="21.75" customHeight="1">
      <c r="A22" s="490"/>
      <c r="B22" s="491"/>
      <c r="C22" s="34"/>
      <c r="D22" s="19"/>
      <c r="E22" s="11"/>
      <c r="F22" s="260">
        <f t="shared" si="0"/>
        <v>0</v>
      </c>
      <c r="G22" s="43"/>
      <c r="H22" s="18"/>
      <c r="I22" s="179">
        <f t="shared" si="1"/>
        <v>0</v>
      </c>
      <c r="J22" s="254"/>
      <c r="K22" s="254"/>
      <c r="L22" s="254"/>
      <c r="M22" s="254"/>
      <c r="N22" s="254"/>
      <c r="O22" s="254"/>
      <c r="P22" s="6"/>
      <c r="Q22" s="6"/>
      <c r="R22" s="6"/>
      <c r="S22" s="6"/>
      <c r="T22" s="6"/>
      <c r="U22" s="6"/>
      <c r="V22" s="6"/>
      <c r="W22" s="6"/>
      <c r="X22" s="6"/>
      <c r="Y22" s="6"/>
      <c r="Z22" s="6"/>
    </row>
    <row r="23" spans="1:26" ht="21.75" customHeight="1">
      <c r="A23" s="490"/>
      <c r="B23" s="491"/>
      <c r="C23" s="34"/>
      <c r="D23" s="19"/>
      <c r="E23" s="11"/>
      <c r="F23" s="260">
        <f t="shared" si="0"/>
        <v>0</v>
      </c>
      <c r="G23" s="43"/>
      <c r="H23" s="18"/>
      <c r="I23" s="179">
        <f t="shared" si="1"/>
        <v>0</v>
      </c>
      <c r="J23" s="254"/>
      <c r="K23" s="254"/>
      <c r="L23" s="254"/>
      <c r="M23" s="254"/>
      <c r="N23" s="254"/>
      <c r="O23" s="254"/>
      <c r="P23" s="6"/>
      <c r="Q23" s="6"/>
      <c r="R23" s="6"/>
      <c r="S23" s="6"/>
      <c r="T23" s="6"/>
      <c r="U23" s="6"/>
      <c r="V23" s="6"/>
      <c r="W23" s="6"/>
      <c r="X23" s="6"/>
      <c r="Y23" s="6"/>
      <c r="Z23" s="6"/>
    </row>
    <row r="24" spans="1:26" ht="21.75" customHeight="1">
      <c r="A24" s="487"/>
      <c r="B24" s="488"/>
      <c r="C24" s="34"/>
      <c r="D24" s="19"/>
      <c r="E24" s="11"/>
      <c r="F24" s="260">
        <f t="shared" si="0"/>
        <v>0</v>
      </c>
      <c r="G24" s="43"/>
      <c r="H24" s="18"/>
      <c r="I24" s="179">
        <f t="shared" si="1"/>
        <v>0</v>
      </c>
      <c r="J24" s="254"/>
      <c r="K24" s="254"/>
      <c r="L24" s="254"/>
      <c r="M24" s="254"/>
      <c r="N24" s="254"/>
      <c r="O24" s="254"/>
      <c r="P24" s="6"/>
      <c r="Q24" s="6"/>
      <c r="R24" s="6"/>
      <c r="S24" s="6"/>
      <c r="T24" s="6"/>
      <c r="U24" s="6"/>
      <c r="V24" s="6"/>
      <c r="W24" s="6"/>
      <c r="X24" s="6"/>
      <c r="Y24" s="6"/>
      <c r="Z24" s="6"/>
    </row>
    <row r="25" spans="1:26" ht="21.75" customHeight="1">
      <c r="A25" s="487"/>
      <c r="B25" s="488"/>
      <c r="C25" s="34"/>
      <c r="D25" s="19"/>
      <c r="E25" s="11"/>
      <c r="F25" s="260">
        <f t="shared" si="0"/>
        <v>0</v>
      </c>
      <c r="G25" s="43"/>
      <c r="H25" s="18"/>
      <c r="I25" s="179">
        <f t="shared" si="1"/>
        <v>0</v>
      </c>
      <c r="J25" s="254"/>
      <c r="K25" s="254"/>
      <c r="L25" s="254"/>
      <c r="M25" s="254"/>
      <c r="N25" s="254"/>
      <c r="O25" s="254"/>
      <c r="P25" s="6"/>
      <c r="Q25" s="6"/>
      <c r="R25" s="6"/>
      <c r="S25" s="6"/>
      <c r="T25" s="6"/>
      <c r="U25" s="6"/>
      <c r="V25" s="6"/>
      <c r="W25" s="6"/>
      <c r="X25" s="6"/>
      <c r="Y25" s="6"/>
      <c r="Z25" s="6"/>
    </row>
    <row r="26" spans="1:26" ht="21.75" customHeight="1">
      <c r="A26" s="487"/>
      <c r="B26" s="488"/>
      <c r="C26" s="34"/>
      <c r="D26" s="19"/>
      <c r="E26" s="11"/>
      <c r="F26" s="260">
        <f t="shared" si="0"/>
        <v>0</v>
      </c>
      <c r="G26" s="43"/>
      <c r="H26" s="18"/>
      <c r="I26" s="179">
        <f t="shared" si="1"/>
        <v>0</v>
      </c>
      <c r="J26" s="254"/>
      <c r="K26" s="254"/>
      <c r="L26" s="254"/>
      <c r="M26" s="254"/>
      <c r="N26" s="254"/>
      <c r="O26" s="254"/>
      <c r="P26" s="6"/>
      <c r="Q26" s="6"/>
      <c r="R26" s="6"/>
      <c r="S26" s="6"/>
      <c r="T26" s="6"/>
      <c r="U26" s="6"/>
      <c r="V26" s="6"/>
      <c r="W26" s="6"/>
      <c r="X26" s="6"/>
      <c r="Y26" s="6"/>
      <c r="Z26" s="6"/>
    </row>
    <row r="27" spans="1:26" ht="21.75" customHeight="1">
      <c r="A27" s="487"/>
      <c r="B27" s="488"/>
      <c r="C27" s="34"/>
      <c r="D27" s="19"/>
      <c r="E27" s="11"/>
      <c r="F27" s="260">
        <f t="shared" si="0"/>
        <v>0</v>
      </c>
      <c r="G27" s="43"/>
      <c r="H27" s="18"/>
      <c r="I27" s="179">
        <f t="shared" si="1"/>
        <v>0</v>
      </c>
      <c r="J27" s="254"/>
      <c r="K27" s="254"/>
      <c r="L27" s="254"/>
      <c r="M27" s="254"/>
      <c r="N27" s="254"/>
      <c r="O27" s="254"/>
      <c r="P27" s="6"/>
      <c r="Q27" s="6"/>
      <c r="R27" s="6"/>
      <c r="S27" s="6"/>
      <c r="T27" s="6"/>
      <c r="U27" s="6"/>
      <c r="V27" s="6"/>
      <c r="W27" s="6"/>
      <c r="X27" s="6"/>
      <c r="Y27" s="6"/>
      <c r="Z27" s="6"/>
    </row>
    <row r="28" spans="1:26" ht="21.75" customHeight="1">
      <c r="A28" s="487"/>
      <c r="B28" s="488"/>
      <c r="C28" s="34"/>
      <c r="D28" s="19"/>
      <c r="E28" s="11"/>
      <c r="F28" s="260">
        <f t="shared" si="0"/>
        <v>0</v>
      </c>
      <c r="G28" s="43"/>
      <c r="H28" s="18"/>
      <c r="I28" s="179">
        <f t="shared" si="1"/>
        <v>0</v>
      </c>
      <c r="J28" s="254"/>
      <c r="K28" s="254"/>
      <c r="L28" s="254"/>
      <c r="M28" s="254"/>
      <c r="N28" s="254"/>
      <c r="O28" s="254"/>
      <c r="P28" s="6"/>
      <c r="Q28" s="6"/>
      <c r="R28" s="6"/>
      <c r="S28" s="6"/>
      <c r="T28" s="6"/>
      <c r="U28" s="6"/>
      <c r="V28" s="6"/>
      <c r="W28" s="6"/>
      <c r="X28" s="6"/>
      <c r="Y28" s="6"/>
      <c r="Z28" s="6"/>
    </row>
    <row r="29" spans="1:26" ht="21.75" customHeight="1">
      <c r="A29" s="487"/>
      <c r="B29" s="488"/>
      <c r="C29" s="34"/>
      <c r="D29" s="19"/>
      <c r="E29" s="11"/>
      <c r="F29" s="260">
        <f t="shared" si="0"/>
        <v>0</v>
      </c>
      <c r="G29" s="43"/>
      <c r="H29" s="18"/>
      <c r="I29" s="179">
        <f t="shared" si="1"/>
        <v>0</v>
      </c>
      <c r="J29" s="254"/>
      <c r="K29" s="254"/>
      <c r="L29" s="254"/>
      <c r="M29" s="254"/>
      <c r="N29" s="254"/>
      <c r="O29" s="254"/>
      <c r="P29" s="6"/>
      <c r="Q29" s="6"/>
      <c r="R29" s="6"/>
      <c r="S29" s="6"/>
      <c r="T29" s="6"/>
      <c r="U29" s="6"/>
      <c r="V29" s="6"/>
      <c r="W29" s="6"/>
      <c r="X29" s="6"/>
      <c r="Y29" s="6"/>
      <c r="Z29" s="6"/>
    </row>
    <row r="30" spans="1:26" ht="21.75" customHeight="1">
      <c r="A30" s="487"/>
      <c r="B30" s="488"/>
      <c r="C30" s="34"/>
      <c r="D30" s="19"/>
      <c r="E30" s="11"/>
      <c r="F30" s="263">
        <f t="shared" si="0"/>
        <v>0</v>
      </c>
      <c r="G30" s="34"/>
      <c r="H30" s="22"/>
      <c r="I30" s="182">
        <f t="shared" si="1"/>
        <v>0</v>
      </c>
      <c r="J30" s="254"/>
      <c r="K30" s="254"/>
      <c r="L30" s="254"/>
      <c r="M30" s="254"/>
      <c r="N30" s="254"/>
      <c r="O30" s="254"/>
      <c r="P30" s="6"/>
      <c r="Q30" s="6"/>
      <c r="R30" s="6"/>
      <c r="S30" s="6"/>
      <c r="T30" s="6"/>
      <c r="U30" s="6"/>
      <c r="V30" s="6"/>
      <c r="W30" s="6"/>
      <c r="X30" s="6"/>
      <c r="Y30" s="6"/>
      <c r="Z30" s="6"/>
    </row>
    <row r="31" spans="1:26" ht="15.75" customHeight="1" thickBot="1">
      <c r="A31" s="46"/>
      <c r="B31" s="47"/>
      <c r="C31" s="467" t="s">
        <v>122</v>
      </c>
      <c r="D31" s="468"/>
      <c r="E31" s="468"/>
      <c r="F31" s="25">
        <f>SUM(F6:F30)</f>
        <v>0</v>
      </c>
      <c r="G31" s="467" t="s">
        <v>123</v>
      </c>
      <c r="H31" s="468"/>
      <c r="I31" s="25">
        <f>SUM(I6:I30)</f>
        <v>0</v>
      </c>
      <c r="J31" s="255"/>
      <c r="K31" s="255"/>
      <c r="L31" s="255"/>
      <c r="M31" s="255"/>
      <c r="N31" s="255"/>
      <c r="O31" s="255"/>
      <c r="P31" s="7"/>
      <c r="Q31" s="7"/>
      <c r="R31" s="7"/>
      <c r="S31" s="7"/>
      <c r="T31" s="7"/>
      <c r="U31" s="7"/>
      <c r="V31" s="7"/>
      <c r="W31" s="7"/>
      <c r="X31" s="7"/>
      <c r="Y31" s="7"/>
      <c r="Z31" s="7"/>
    </row>
    <row r="32" spans="1:26" ht="19.5" customHeight="1" thickBot="1">
      <c r="A32" s="469" t="s">
        <v>125</v>
      </c>
      <c r="B32" s="470"/>
      <c r="C32" s="470"/>
      <c r="D32" s="470"/>
      <c r="E32" s="470"/>
      <c r="F32" s="470"/>
      <c r="G32" s="470"/>
      <c r="H32" s="470"/>
      <c r="I32" s="26">
        <f>SUM(I31,F31)</f>
        <v>0</v>
      </c>
      <c r="J32" s="255"/>
      <c r="K32" s="255"/>
      <c r="L32" s="255"/>
      <c r="M32" s="255"/>
      <c r="N32" s="255"/>
      <c r="O32" s="255"/>
      <c r="P32" s="7"/>
      <c r="Q32" s="7"/>
      <c r="R32" s="7"/>
      <c r="S32" s="7"/>
      <c r="T32" s="7"/>
      <c r="U32" s="7"/>
      <c r="V32" s="7"/>
      <c r="W32" s="7"/>
      <c r="X32" s="7"/>
      <c r="Y32" s="7"/>
      <c r="Z32" s="7"/>
    </row>
    <row r="33" spans="1:26" ht="36" customHeight="1" thickBot="1">
      <c r="A33" s="485" t="s">
        <v>169</v>
      </c>
      <c r="B33" s="486"/>
      <c r="C33" s="486"/>
      <c r="D33" s="486"/>
      <c r="E33" s="486"/>
      <c r="F33" s="486"/>
      <c r="G33" s="486"/>
      <c r="H33" s="486"/>
      <c r="I33" s="479"/>
      <c r="J33" s="255"/>
      <c r="K33" s="255"/>
      <c r="L33" s="255"/>
      <c r="M33" s="255"/>
      <c r="N33" s="255"/>
      <c r="O33" s="255"/>
      <c r="P33" s="7"/>
      <c r="Q33" s="7"/>
      <c r="R33" s="7"/>
      <c r="S33" s="7"/>
      <c r="T33" s="7"/>
      <c r="U33" s="7"/>
      <c r="V33" s="7"/>
      <c r="W33" s="7"/>
      <c r="X33" s="7"/>
      <c r="Y33" s="7"/>
      <c r="Z33" s="7"/>
    </row>
    <row r="34" spans="1:26" ht="15.5">
      <c r="A34" s="452" t="s">
        <v>93</v>
      </c>
      <c r="B34" s="453"/>
      <c r="C34" s="390" t="s">
        <v>91</v>
      </c>
      <c r="D34" s="382"/>
      <c r="E34" s="382"/>
      <c r="F34" s="383"/>
      <c r="G34" s="381" t="s">
        <v>92</v>
      </c>
      <c r="H34" s="382"/>
      <c r="I34" s="383"/>
      <c r="J34" s="256"/>
      <c r="K34" s="256"/>
      <c r="L34" s="256"/>
      <c r="M34" s="256"/>
      <c r="N34" s="256"/>
      <c r="O34" s="256"/>
      <c r="P34" s="8"/>
      <c r="Q34" s="8"/>
      <c r="R34" s="8"/>
      <c r="S34" s="8"/>
      <c r="T34" s="8"/>
      <c r="U34" s="8"/>
      <c r="V34" s="8"/>
      <c r="W34" s="8"/>
      <c r="X34" s="8"/>
      <c r="Y34" s="8"/>
      <c r="Z34" s="8"/>
    </row>
    <row r="35" spans="1:26" ht="15.75" customHeight="1" thickBot="1">
      <c r="A35" s="454"/>
      <c r="B35" s="455"/>
      <c r="C35" s="37" t="s">
        <v>129</v>
      </c>
      <c r="D35" s="27" t="s">
        <v>95</v>
      </c>
      <c r="E35" s="28" t="s">
        <v>61</v>
      </c>
      <c r="F35" s="38" t="s">
        <v>79</v>
      </c>
      <c r="G35" s="44" t="s">
        <v>96</v>
      </c>
      <c r="H35" s="30" t="s">
        <v>85</v>
      </c>
      <c r="I35" s="31" t="s">
        <v>79</v>
      </c>
      <c r="J35" s="256"/>
      <c r="K35" s="256"/>
      <c r="L35" s="256"/>
      <c r="M35" s="256"/>
      <c r="N35" s="256"/>
      <c r="O35" s="256"/>
      <c r="P35" s="8"/>
      <c r="Q35" s="8"/>
      <c r="R35" s="8"/>
      <c r="S35" s="8"/>
      <c r="T35" s="8"/>
      <c r="U35" s="8"/>
      <c r="V35" s="8"/>
      <c r="W35" s="8"/>
      <c r="X35" s="8"/>
      <c r="Y35" s="8"/>
      <c r="Z35" s="8"/>
    </row>
    <row r="36" spans="1:26" ht="21.75" customHeight="1">
      <c r="A36" s="489"/>
      <c r="B36" s="488"/>
      <c r="C36" s="39">
        <v>1</v>
      </c>
      <c r="D36" s="20"/>
      <c r="E36" s="12">
        <v>0</v>
      </c>
      <c r="F36" s="40">
        <f t="shared" ref="F36:F58" si="2">C36*E36</f>
        <v>0</v>
      </c>
      <c r="G36" s="45">
        <v>1</v>
      </c>
      <c r="H36" s="12">
        <v>0</v>
      </c>
      <c r="I36" s="264">
        <f>G36*H36</f>
        <v>0</v>
      </c>
      <c r="J36" s="252"/>
      <c r="K36" s="252"/>
      <c r="L36" s="252"/>
      <c r="M36" s="252"/>
      <c r="N36" s="252"/>
      <c r="O36" s="252"/>
    </row>
    <row r="37" spans="1:26" ht="21.75" customHeight="1">
      <c r="A37" s="489"/>
      <c r="B37" s="488"/>
      <c r="C37" s="39"/>
      <c r="D37" s="20"/>
      <c r="E37" s="12"/>
      <c r="F37" s="40">
        <f t="shared" si="2"/>
        <v>0</v>
      </c>
      <c r="G37" s="45"/>
      <c r="H37" s="12"/>
      <c r="I37" s="206">
        <f t="shared" ref="I37:I58" si="3">G37*H37</f>
        <v>0</v>
      </c>
      <c r="J37" s="252"/>
      <c r="K37" s="252"/>
      <c r="L37" s="252"/>
      <c r="M37" s="252"/>
      <c r="N37" s="252"/>
      <c r="O37" s="252"/>
    </row>
    <row r="38" spans="1:26" ht="21.75" customHeight="1">
      <c r="A38" s="489"/>
      <c r="B38" s="488"/>
      <c r="C38" s="39"/>
      <c r="D38" s="20"/>
      <c r="E38" s="12"/>
      <c r="F38" s="40">
        <f t="shared" si="2"/>
        <v>0</v>
      </c>
      <c r="G38" s="45"/>
      <c r="H38" s="12"/>
      <c r="I38" s="206">
        <f t="shared" si="3"/>
        <v>0</v>
      </c>
      <c r="J38" s="252"/>
      <c r="K38" s="252"/>
      <c r="L38" s="252"/>
      <c r="M38" s="252"/>
      <c r="N38" s="252"/>
      <c r="O38" s="252"/>
    </row>
    <row r="39" spans="1:26" ht="21.75" customHeight="1">
      <c r="A39" s="489"/>
      <c r="B39" s="488"/>
      <c r="C39" s="39"/>
      <c r="D39" s="20"/>
      <c r="E39" s="12"/>
      <c r="F39" s="40">
        <f t="shared" si="2"/>
        <v>0</v>
      </c>
      <c r="G39" s="45"/>
      <c r="H39" s="12"/>
      <c r="I39" s="206">
        <f t="shared" si="3"/>
        <v>0</v>
      </c>
      <c r="J39" s="252"/>
      <c r="K39" s="252"/>
      <c r="L39" s="252"/>
      <c r="M39" s="252"/>
      <c r="N39" s="252"/>
      <c r="O39" s="252"/>
    </row>
    <row r="40" spans="1:26" ht="21.75" customHeight="1">
      <c r="A40" s="489"/>
      <c r="B40" s="488"/>
      <c r="C40" s="39"/>
      <c r="D40" s="20"/>
      <c r="E40" s="12"/>
      <c r="F40" s="40">
        <f t="shared" si="2"/>
        <v>0</v>
      </c>
      <c r="G40" s="45"/>
      <c r="H40" s="12"/>
      <c r="I40" s="206">
        <f t="shared" si="3"/>
        <v>0</v>
      </c>
      <c r="J40" s="252"/>
      <c r="K40" s="252"/>
      <c r="L40" s="252"/>
      <c r="M40" s="252"/>
      <c r="N40" s="252"/>
      <c r="O40" s="252"/>
    </row>
    <row r="41" spans="1:26" ht="21.75" customHeight="1">
      <c r="A41" s="489"/>
      <c r="B41" s="488"/>
      <c r="C41" s="39"/>
      <c r="D41" s="20"/>
      <c r="E41" s="12"/>
      <c r="F41" s="40">
        <f t="shared" si="2"/>
        <v>0</v>
      </c>
      <c r="G41" s="45"/>
      <c r="H41" s="12"/>
      <c r="I41" s="206">
        <f t="shared" si="3"/>
        <v>0</v>
      </c>
      <c r="J41" s="252"/>
      <c r="K41" s="252"/>
      <c r="L41" s="252"/>
      <c r="M41" s="252"/>
      <c r="N41" s="252"/>
      <c r="O41" s="252"/>
    </row>
    <row r="42" spans="1:26" ht="21.75" customHeight="1">
      <c r="A42" s="489"/>
      <c r="B42" s="488"/>
      <c r="C42" s="39"/>
      <c r="D42" s="20"/>
      <c r="E42" s="12"/>
      <c r="F42" s="40">
        <f t="shared" si="2"/>
        <v>0</v>
      </c>
      <c r="G42" s="45"/>
      <c r="H42" s="12"/>
      <c r="I42" s="206">
        <f t="shared" si="3"/>
        <v>0</v>
      </c>
      <c r="J42" s="252"/>
      <c r="K42" s="252"/>
      <c r="L42" s="252"/>
      <c r="M42" s="252"/>
      <c r="N42" s="252"/>
      <c r="O42" s="252"/>
    </row>
    <row r="43" spans="1:26" ht="21.75" customHeight="1">
      <c r="A43" s="489"/>
      <c r="B43" s="488"/>
      <c r="C43" s="39"/>
      <c r="D43" s="20"/>
      <c r="E43" s="12"/>
      <c r="F43" s="40">
        <f t="shared" si="2"/>
        <v>0</v>
      </c>
      <c r="G43" s="45"/>
      <c r="H43" s="12"/>
      <c r="I43" s="206">
        <f t="shared" si="3"/>
        <v>0</v>
      </c>
      <c r="J43" s="252"/>
      <c r="K43" s="252"/>
      <c r="L43" s="252"/>
      <c r="M43" s="252"/>
      <c r="N43" s="252"/>
      <c r="O43" s="252"/>
    </row>
    <row r="44" spans="1:26" ht="21.75" customHeight="1">
      <c r="A44" s="489"/>
      <c r="B44" s="488"/>
      <c r="C44" s="39"/>
      <c r="D44" s="20"/>
      <c r="E44" s="12"/>
      <c r="F44" s="40">
        <f t="shared" si="2"/>
        <v>0</v>
      </c>
      <c r="G44" s="45"/>
      <c r="H44" s="12"/>
      <c r="I44" s="206">
        <f t="shared" si="3"/>
        <v>0</v>
      </c>
      <c r="J44" s="252"/>
      <c r="K44" s="252"/>
      <c r="L44" s="252"/>
      <c r="M44" s="252"/>
      <c r="N44" s="252"/>
      <c r="O44" s="252"/>
    </row>
    <row r="45" spans="1:26" ht="21.75" customHeight="1">
      <c r="A45" s="489"/>
      <c r="B45" s="488"/>
      <c r="C45" s="39"/>
      <c r="D45" s="20"/>
      <c r="E45" s="12"/>
      <c r="F45" s="40">
        <f t="shared" si="2"/>
        <v>0</v>
      </c>
      <c r="G45" s="45"/>
      <c r="H45" s="12"/>
      <c r="I45" s="206">
        <f t="shared" si="3"/>
        <v>0</v>
      </c>
      <c r="J45" s="252"/>
      <c r="K45" s="252"/>
      <c r="L45" s="252"/>
      <c r="M45" s="252"/>
      <c r="N45" s="252"/>
      <c r="O45" s="252"/>
    </row>
    <row r="46" spans="1:26" ht="21.75" customHeight="1">
      <c r="A46" s="489"/>
      <c r="B46" s="488"/>
      <c r="C46" s="39"/>
      <c r="D46" s="20"/>
      <c r="E46" s="12"/>
      <c r="F46" s="40">
        <f t="shared" si="2"/>
        <v>0</v>
      </c>
      <c r="G46" s="45"/>
      <c r="H46" s="12"/>
      <c r="I46" s="206">
        <f t="shared" si="3"/>
        <v>0</v>
      </c>
      <c r="J46" s="252"/>
      <c r="K46" s="252"/>
      <c r="L46" s="252"/>
      <c r="M46" s="252"/>
      <c r="N46" s="252"/>
      <c r="O46" s="252"/>
    </row>
    <row r="47" spans="1:26" ht="21.75" customHeight="1">
      <c r="A47" s="489"/>
      <c r="B47" s="488"/>
      <c r="C47" s="39"/>
      <c r="D47" s="20"/>
      <c r="E47" s="12"/>
      <c r="F47" s="40">
        <f t="shared" si="2"/>
        <v>0</v>
      </c>
      <c r="G47" s="45"/>
      <c r="H47" s="12"/>
      <c r="I47" s="206">
        <f t="shared" si="3"/>
        <v>0</v>
      </c>
      <c r="J47" s="252"/>
      <c r="K47" s="252"/>
      <c r="L47" s="252"/>
      <c r="M47" s="252"/>
      <c r="N47" s="252"/>
      <c r="O47" s="252"/>
    </row>
    <row r="48" spans="1:26" ht="21.75" customHeight="1">
      <c r="A48" s="489"/>
      <c r="B48" s="488"/>
      <c r="C48" s="39"/>
      <c r="D48" s="20"/>
      <c r="E48" s="12"/>
      <c r="F48" s="40">
        <f t="shared" si="2"/>
        <v>0</v>
      </c>
      <c r="G48" s="45"/>
      <c r="H48" s="12"/>
      <c r="I48" s="206">
        <f t="shared" si="3"/>
        <v>0</v>
      </c>
      <c r="J48" s="252"/>
      <c r="K48" s="252"/>
      <c r="L48" s="252"/>
      <c r="M48" s="252"/>
      <c r="N48" s="252"/>
      <c r="O48" s="252"/>
    </row>
    <row r="49" spans="1:15" ht="21.75" customHeight="1">
      <c r="A49" s="489"/>
      <c r="B49" s="488"/>
      <c r="C49" s="39"/>
      <c r="D49" s="20"/>
      <c r="E49" s="12"/>
      <c r="F49" s="40">
        <f t="shared" si="2"/>
        <v>0</v>
      </c>
      <c r="G49" s="45"/>
      <c r="H49" s="12"/>
      <c r="I49" s="206">
        <f t="shared" si="3"/>
        <v>0</v>
      </c>
      <c r="J49" s="252"/>
      <c r="K49" s="252"/>
      <c r="L49" s="252"/>
      <c r="M49" s="252"/>
      <c r="N49" s="252"/>
      <c r="O49" s="252"/>
    </row>
    <row r="50" spans="1:15" ht="21.75" customHeight="1">
      <c r="A50" s="489"/>
      <c r="B50" s="488"/>
      <c r="C50" s="39"/>
      <c r="D50" s="20"/>
      <c r="E50" s="12"/>
      <c r="F50" s="40">
        <f t="shared" si="2"/>
        <v>0</v>
      </c>
      <c r="G50" s="45"/>
      <c r="H50" s="12"/>
      <c r="I50" s="206">
        <f t="shared" si="3"/>
        <v>0</v>
      </c>
      <c r="J50" s="252"/>
      <c r="K50" s="252"/>
      <c r="L50" s="252"/>
      <c r="M50" s="252"/>
      <c r="N50" s="252"/>
      <c r="O50" s="252"/>
    </row>
    <row r="51" spans="1:15" ht="21.75" customHeight="1">
      <c r="A51" s="489"/>
      <c r="B51" s="488"/>
      <c r="C51" s="39"/>
      <c r="D51" s="20"/>
      <c r="E51" s="12"/>
      <c r="F51" s="40">
        <f t="shared" si="2"/>
        <v>0</v>
      </c>
      <c r="G51" s="45"/>
      <c r="H51" s="12"/>
      <c r="I51" s="206">
        <f t="shared" si="3"/>
        <v>0</v>
      </c>
      <c r="J51" s="252"/>
      <c r="K51" s="252"/>
      <c r="L51" s="252"/>
      <c r="M51" s="252"/>
      <c r="N51" s="252"/>
      <c r="O51" s="252"/>
    </row>
    <row r="52" spans="1:15" ht="21.75" customHeight="1">
      <c r="A52" s="489"/>
      <c r="B52" s="488"/>
      <c r="C52" s="39"/>
      <c r="D52" s="20"/>
      <c r="E52" s="12"/>
      <c r="F52" s="40">
        <f t="shared" si="2"/>
        <v>0</v>
      </c>
      <c r="G52" s="45"/>
      <c r="H52" s="12"/>
      <c r="I52" s="206">
        <f t="shared" si="3"/>
        <v>0</v>
      </c>
      <c r="J52" s="252"/>
      <c r="K52" s="252"/>
      <c r="L52" s="252"/>
      <c r="M52" s="252"/>
      <c r="N52" s="252"/>
      <c r="O52" s="252"/>
    </row>
    <row r="53" spans="1:15" ht="21.75" customHeight="1">
      <c r="A53" s="489"/>
      <c r="B53" s="488"/>
      <c r="C53" s="39"/>
      <c r="D53" s="20"/>
      <c r="E53" s="12"/>
      <c r="F53" s="40">
        <f t="shared" si="2"/>
        <v>0</v>
      </c>
      <c r="G53" s="45"/>
      <c r="H53" s="12"/>
      <c r="I53" s="206">
        <f t="shared" si="3"/>
        <v>0</v>
      </c>
      <c r="J53" s="252"/>
      <c r="K53" s="252"/>
      <c r="L53" s="252"/>
      <c r="M53" s="252"/>
      <c r="N53" s="252"/>
      <c r="O53" s="252"/>
    </row>
    <row r="54" spans="1:15" ht="21.75" customHeight="1">
      <c r="A54" s="489"/>
      <c r="B54" s="488"/>
      <c r="C54" s="39"/>
      <c r="D54" s="20"/>
      <c r="E54" s="12"/>
      <c r="F54" s="40">
        <f t="shared" si="2"/>
        <v>0</v>
      </c>
      <c r="G54" s="45"/>
      <c r="H54" s="12"/>
      <c r="I54" s="206">
        <f t="shared" si="3"/>
        <v>0</v>
      </c>
      <c r="J54" s="252"/>
      <c r="K54" s="252"/>
      <c r="L54" s="252"/>
      <c r="M54" s="252"/>
      <c r="N54" s="252"/>
      <c r="O54" s="252"/>
    </row>
    <row r="55" spans="1:15" ht="21.75" customHeight="1">
      <c r="A55" s="489"/>
      <c r="B55" s="488"/>
      <c r="C55" s="39"/>
      <c r="D55" s="20"/>
      <c r="E55" s="12"/>
      <c r="F55" s="40">
        <f t="shared" si="2"/>
        <v>0</v>
      </c>
      <c r="G55" s="45"/>
      <c r="H55" s="12"/>
      <c r="I55" s="206">
        <f t="shared" si="3"/>
        <v>0</v>
      </c>
      <c r="J55" s="252"/>
      <c r="K55" s="252"/>
      <c r="L55" s="252"/>
      <c r="M55" s="252"/>
      <c r="N55" s="252"/>
      <c r="O55" s="252"/>
    </row>
    <row r="56" spans="1:15" ht="21.75" customHeight="1">
      <c r="A56" s="489"/>
      <c r="B56" s="488"/>
      <c r="C56" s="39"/>
      <c r="D56" s="20"/>
      <c r="E56" s="12"/>
      <c r="F56" s="40">
        <f t="shared" si="2"/>
        <v>0</v>
      </c>
      <c r="G56" s="45"/>
      <c r="H56" s="12"/>
      <c r="I56" s="206">
        <f t="shared" si="3"/>
        <v>0</v>
      </c>
      <c r="J56" s="252"/>
      <c r="K56" s="252"/>
      <c r="L56" s="252"/>
      <c r="M56" s="252"/>
      <c r="N56" s="252"/>
      <c r="O56" s="252"/>
    </row>
    <row r="57" spans="1:15" ht="21.75" customHeight="1">
      <c r="A57" s="489"/>
      <c r="B57" s="488"/>
      <c r="C57" s="39"/>
      <c r="D57" s="20"/>
      <c r="E57" s="12"/>
      <c r="F57" s="40">
        <f t="shared" si="2"/>
        <v>0</v>
      </c>
      <c r="G57" s="45"/>
      <c r="H57" s="12"/>
      <c r="I57" s="206">
        <f t="shared" si="3"/>
        <v>0</v>
      </c>
      <c r="J57" s="252"/>
      <c r="K57" s="252"/>
      <c r="L57" s="252"/>
      <c r="M57" s="252"/>
      <c r="N57" s="252"/>
      <c r="O57" s="252"/>
    </row>
    <row r="58" spans="1:15" ht="21.75" customHeight="1">
      <c r="A58" s="489"/>
      <c r="B58" s="488"/>
      <c r="C58" s="39"/>
      <c r="D58" s="20"/>
      <c r="E58" s="12"/>
      <c r="F58" s="42">
        <f t="shared" si="2"/>
        <v>0</v>
      </c>
      <c r="G58" s="45"/>
      <c r="H58" s="12"/>
      <c r="I58" s="265">
        <f t="shared" si="3"/>
        <v>0</v>
      </c>
      <c r="J58" s="252"/>
      <c r="K58" s="252"/>
      <c r="L58" s="252"/>
      <c r="M58" s="252"/>
      <c r="N58" s="252"/>
      <c r="O58" s="252"/>
    </row>
    <row r="59" spans="1:15" ht="15.75" customHeight="1" thickBot="1">
      <c r="A59" s="46"/>
      <c r="B59" s="47"/>
      <c r="C59" s="473" t="s">
        <v>122</v>
      </c>
      <c r="D59" s="474"/>
      <c r="E59" s="475"/>
      <c r="F59" s="266">
        <f>SUM(F36:F58)</f>
        <v>0</v>
      </c>
      <c r="G59" s="473" t="s">
        <v>123</v>
      </c>
      <c r="H59" s="475"/>
      <c r="I59" s="266">
        <f>SUM(I36:I58)</f>
        <v>0</v>
      </c>
      <c r="J59" s="252"/>
      <c r="K59" s="252"/>
      <c r="L59" s="252"/>
      <c r="M59" s="252"/>
      <c r="N59" s="252"/>
      <c r="O59" s="252"/>
    </row>
    <row r="60" spans="1:15" ht="20.149999999999999" customHeight="1" thickBot="1">
      <c r="A60" s="469" t="s">
        <v>124</v>
      </c>
      <c r="B60" s="470"/>
      <c r="C60" s="470"/>
      <c r="D60" s="470"/>
      <c r="E60" s="470"/>
      <c r="F60" s="470"/>
      <c r="G60" s="470"/>
      <c r="H60" s="470"/>
      <c r="I60" s="267">
        <f>SUM(I59,F59)</f>
        <v>0</v>
      </c>
      <c r="J60" s="252"/>
      <c r="K60" s="252"/>
      <c r="L60" s="252"/>
      <c r="M60" s="252"/>
      <c r="N60" s="252"/>
      <c r="O60" s="252"/>
    </row>
    <row r="61" spans="1:15" ht="15.75" customHeight="1">
      <c r="A61" s="252"/>
      <c r="B61" s="252"/>
      <c r="C61" s="252"/>
      <c r="D61" s="252"/>
      <c r="E61" s="257"/>
      <c r="F61" s="252"/>
      <c r="G61" s="252"/>
      <c r="H61" s="252"/>
      <c r="I61" s="252"/>
      <c r="J61" s="252"/>
      <c r="K61" s="252"/>
      <c r="L61" s="252"/>
      <c r="M61" s="252"/>
      <c r="N61" s="252"/>
      <c r="O61" s="252"/>
    </row>
    <row r="62" spans="1:15" ht="15.75" customHeight="1">
      <c r="A62" s="252"/>
      <c r="B62" s="252"/>
      <c r="C62" s="252"/>
      <c r="D62" s="252"/>
      <c r="E62" s="257"/>
      <c r="F62" s="252"/>
      <c r="G62" s="252"/>
      <c r="H62" s="252"/>
      <c r="I62" s="252"/>
      <c r="J62" s="252"/>
      <c r="K62" s="252"/>
      <c r="L62" s="252"/>
      <c r="M62" s="252"/>
      <c r="N62" s="252"/>
      <c r="O62" s="252"/>
    </row>
    <row r="63" spans="1:15" ht="15.75" customHeight="1">
      <c r="A63" s="252"/>
      <c r="B63" s="252"/>
      <c r="C63" s="252"/>
      <c r="D63" s="252"/>
      <c r="E63" s="257"/>
      <c r="F63" s="252"/>
      <c r="G63" s="252"/>
      <c r="H63" s="252"/>
      <c r="I63" s="252"/>
      <c r="J63" s="252"/>
      <c r="K63" s="252"/>
      <c r="L63" s="252"/>
      <c r="M63" s="252"/>
      <c r="N63" s="252"/>
      <c r="O63" s="252"/>
    </row>
    <row r="64" spans="1:15" ht="15.75" customHeight="1">
      <c r="A64" s="252"/>
      <c r="B64" s="252"/>
      <c r="C64" s="252"/>
      <c r="D64" s="252"/>
      <c r="E64" s="257"/>
      <c r="F64" s="252"/>
      <c r="G64" s="252"/>
      <c r="H64" s="252"/>
      <c r="I64" s="252"/>
      <c r="J64" s="252"/>
      <c r="K64" s="252"/>
      <c r="L64" s="252"/>
      <c r="M64" s="252"/>
      <c r="N64" s="252"/>
      <c r="O64" s="252"/>
    </row>
    <row r="65" spans="1:15" ht="15.75" customHeight="1">
      <c r="A65" s="252"/>
      <c r="B65" s="252"/>
      <c r="C65" s="252"/>
      <c r="D65" s="252"/>
      <c r="E65" s="257"/>
      <c r="F65" s="252"/>
      <c r="G65" s="252"/>
      <c r="H65" s="252"/>
      <c r="I65" s="252"/>
      <c r="J65" s="252"/>
      <c r="K65" s="252"/>
      <c r="L65" s="252"/>
      <c r="M65" s="252"/>
      <c r="N65" s="252"/>
      <c r="O65" s="252"/>
    </row>
    <row r="66" spans="1:15" ht="15.75" customHeight="1">
      <c r="A66" s="252"/>
      <c r="B66" s="252"/>
      <c r="C66" s="252"/>
      <c r="D66" s="252"/>
      <c r="E66" s="257"/>
      <c r="F66" s="252"/>
      <c r="G66" s="252"/>
      <c r="H66" s="252"/>
      <c r="I66" s="252"/>
      <c r="J66" s="252"/>
      <c r="K66" s="252"/>
      <c r="L66" s="252"/>
      <c r="M66" s="252"/>
      <c r="N66" s="252"/>
      <c r="O66" s="252"/>
    </row>
    <row r="67" spans="1:15" ht="15.75" customHeight="1">
      <c r="A67" s="252"/>
      <c r="B67" s="252"/>
      <c r="C67" s="252"/>
      <c r="D67" s="252"/>
      <c r="E67" s="257"/>
      <c r="F67" s="252"/>
      <c r="G67" s="252"/>
      <c r="H67" s="252"/>
      <c r="I67" s="252"/>
      <c r="J67" s="252"/>
      <c r="K67" s="252"/>
      <c r="L67" s="252"/>
      <c r="M67" s="252"/>
      <c r="N67" s="252"/>
      <c r="O67" s="252"/>
    </row>
    <row r="68" spans="1:15" ht="15.75" customHeight="1">
      <c r="A68" s="252"/>
      <c r="B68" s="252"/>
      <c r="C68" s="252"/>
      <c r="D68" s="252"/>
      <c r="E68" s="257"/>
      <c r="F68" s="252"/>
      <c r="G68" s="252"/>
      <c r="H68" s="252"/>
      <c r="I68" s="252"/>
      <c r="J68" s="252"/>
      <c r="K68" s="252"/>
      <c r="L68" s="252"/>
      <c r="M68" s="252"/>
      <c r="N68" s="252"/>
      <c r="O68" s="252"/>
    </row>
    <row r="69" spans="1:15" ht="15.75" customHeight="1">
      <c r="A69" s="252"/>
      <c r="B69" s="252"/>
      <c r="C69" s="252"/>
      <c r="D69" s="252"/>
      <c r="E69" s="257"/>
      <c r="F69" s="252"/>
      <c r="G69" s="252"/>
      <c r="H69" s="252"/>
      <c r="I69" s="252"/>
      <c r="J69" s="252"/>
      <c r="K69" s="252"/>
      <c r="L69" s="252"/>
      <c r="M69" s="252"/>
      <c r="N69" s="252"/>
      <c r="O69" s="252"/>
    </row>
    <row r="70" spans="1:15" ht="15.75" customHeight="1">
      <c r="A70" s="252"/>
      <c r="B70" s="252"/>
      <c r="C70" s="252"/>
      <c r="D70" s="252"/>
      <c r="E70" s="257"/>
      <c r="F70" s="252"/>
      <c r="G70" s="252"/>
      <c r="H70" s="252"/>
      <c r="I70" s="252"/>
      <c r="J70" s="252"/>
      <c r="K70" s="252"/>
      <c r="L70" s="252"/>
      <c r="M70" s="252"/>
      <c r="N70" s="252"/>
      <c r="O70" s="252"/>
    </row>
    <row r="71" spans="1:15" ht="15.75" customHeight="1">
      <c r="A71" s="252"/>
      <c r="B71" s="252"/>
      <c r="C71" s="252"/>
      <c r="D71" s="252"/>
      <c r="E71" s="257"/>
      <c r="F71" s="252"/>
      <c r="G71" s="252"/>
      <c r="H71" s="252"/>
      <c r="I71" s="252"/>
      <c r="J71" s="252"/>
      <c r="K71" s="252"/>
      <c r="L71" s="252"/>
      <c r="M71" s="252"/>
      <c r="N71" s="252"/>
      <c r="O71" s="252"/>
    </row>
    <row r="72" spans="1:15" ht="15.75" customHeight="1">
      <c r="A72" s="252"/>
      <c r="B72" s="252"/>
      <c r="C72" s="252"/>
      <c r="D72" s="252"/>
      <c r="E72" s="257"/>
      <c r="F72" s="252"/>
      <c r="G72" s="252"/>
      <c r="H72" s="252"/>
      <c r="I72" s="252"/>
      <c r="J72" s="252"/>
      <c r="K72" s="252"/>
      <c r="L72" s="252"/>
      <c r="M72" s="252"/>
      <c r="N72" s="252"/>
      <c r="O72" s="252"/>
    </row>
    <row r="73" spans="1:15" ht="15.75" customHeight="1">
      <c r="A73" s="252"/>
      <c r="B73" s="252"/>
      <c r="C73" s="252"/>
      <c r="D73" s="252"/>
      <c r="E73" s="257"/>
      <c r="F73" s="252"/>
      <c r="G73" s="252"/>
      <c r="H73" s="252"/>
      <c r="I73" s="252"/>
      <c r="J73" s="252"/>
      <c r="K73" s="252"/>
      <c r="L73" s="252"/>
      <c r="M73" s="252"/>
      <c r="N73" s="252"/>
      <c r="O73" s="252"/>
    </row>
    <row r="74" spans="1:15" ht="15.75" customHeight="1">
      <c r="E74" s="9"/>
    </row>
    <row r="75" spans="1:15" ht="15.75" customHeight="1">
      <c r="E75" s="9"/>
    </row>
    <row r="76" spans="1:15" ht="15.75" customHeight="1">
      <c r="E76" s="9"/>
    </row>
    <row r="77" spans="1:15" ht="15.75" customHeight="1">
      <c r="E77" s="9"/>
    </row>
    <row r="78" spans="1:15" ht="15.75" customHeight="1">
      <c r="E78" s="9"/>
    </row>
    <row r="79" spans="1:15" ht="15.75" customHeight="1">
      <c r="E79" s="9"/>
    </row>
    <row r="80" spans="1:1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row r="1004" spans="5:5" ht="15.75" customHeight="1">
      <c r="E1004" s="9"/>
    </row>
    <row r="1005" spans="5:5" ht="15.75" customHeight="1">
      <c r="E1005" s="9"/>
    </row>
    <row r="1006" spans="5:5" ht="15.75" customHeight="1">
      <c r="E1006" s="9"/>
    </row>
    <row r="1007" spans="5:5" ht="15.75" customHeight="1">
      <c r="E1007" s="9"/>
    </row>
    <row r="1008" spans="5:5" ht="15.75" customHeight="1">
      <c r="E1008" s="9"/>
    </row>
    <row r="1009" spans="5:5" ht="15.75" customHeight="1">
      <c r="E1009" s="9"/>
    </row>
    <row r="1010" spans="5:5" ht="15.75" customHeight="1">
      <c r="E1010" s="9"/>
    </row>
    <row r="1011" spans="5:5" ht="15.75" customHeight="1">
      <c r="E1011" s="9"/>
    </row>
    <row r="1012" spans="5:5" ht="15.75" customHeight="1">
      <c r="E1012" s="9"/>
    </row>
    <row r="1013" spans="5:5" ht="15.75" customHeight="1">
      <c r="E1013" s="9"/>
    </row>
    <row r="1014" spans="5:5" ht="15.75" customHeight="1">
      <c r="E1014" s="9"/>
    </row>
    <row r="1015" spans="5:5" ht="15.75" customHeight="1">
      <c r="E1015" s="9"/>
    </row>
    <row r="1016" spans="5:5" ht="15.75" customHeight="1">
      <c r="E1016" s="9"/>
    </row>
    <row r="1017" spans="5:5" ht="15.75" customHeight="1">
      <c r="E1017" s="9"/>
    </row>
    <row r="1018" spans="5:5" ht="15.75" customHeight="1">
      <c r="E1018" s="9"/>
    </row>
    <row r="1019" spans="5:5" ht="15.75" customHeight="1">
      <c r="E1019" s="9"/>
    </row>
    <row r="1020" spans="5:5" ht="15.75" customHeight="1">
      <c r="E1020" s="9"/>
    </row>
    <row r="1021" spans="5:5" ht="15.75" customHeight="1">
      <c r="E1021" s="9"/>
    </row>
    <row r="1022" spans="5:5" ht="15.75" customHeight="1">
      <c r="E1022" s="9"/>
    </row>
    <row r="1023" spans="5:5" ht="15.75" customHeight="1">
      <c r="E1023" s="9"/>
    </row>
    <row r="1024" spans="5:5" ht="15.75" customHeight="1">
      <c r="E1024" s="9"/>
    </row>
    <row r="1025" spans="5:5" ht="15.75" customHeight="1">
      <c r="E1025" s="9"/>
    </row>
  </sheetData>
  <mergeCells count="63">
    <mergeCell ref="A6:B6"/>
    <mergeCell ref="A1:F2"/>
    <mergeCell ref="A3:I3"/>
    <mergeCell ref="A4:B5"/>
    <mergeCell ref="C4:F4"/>
    <mergeCell ref="G4:I4"/>
    <mergeCell ref="A18:B18"/>
    <mergeCell ref="A7:B7"/>
    <mergeCell ref="A8:B8"/>
    <mergeCell ref="A9:B9"/>
    <mergeCell ref="A10:B10"/>
    <mergeCell ref="A11:B11"/>
    <mergeCell ref="A12:B12"/>
    <mergeCell ref="A13:B13"/>
    <mergeCell ref="A14:B14"/>
    <mergeCell ref="A15:B15"/>
    <mergeCell ref="A16:B16"/>
    <mergeCell ref="A17:B17"/>
    <mergeCell ref="A30:B30"/>
    <mergeCell ref="A19:B19"/>
    <mergeCell ref="A20:B20"/>
    <mergeCell ref="A21:B21"/>
    <mergeCell ref="A22:B22"/>
    <mergeCell ref="A23:B23"/>
    <mergeCell ref="A24:B24"/>
    <mergeCell ref="A25:B25"/>
    <mergeCell ref="A26:B26"/>
    <mergeCell ref="A27:B27"/>
    <mergeCell ref="A28:B28"/>
    <mergeCell ref="A29:B29"/>
    <mergeCell ref="A41:B41"/>
    <mergeCell ref="C31:E31"/>
    <mergeCell ref="G31:H31"/>
    <mergeCell ref="A32:H32"/>
    <mergeCell ref="A33:I33"/>
    <mergeCell ref="A34:B35"/>
    <mergeCell ref="C34:F34"/>
    <mergeCell ref="G34:I34"/>
    <mergeCell ref="A36:B36"/>
    <mergeCell ref="A37:B37"/>
    <mergeCell ref="A38:B38"/>
    <mergeCell ref="A39:B39"/>
    <mergeCell ref="A40:B40"/>
    <mergeCell ref="A53:B53"/>
    <mergeCell ref="A42:B42"/>
    <mergeCell ref="A43:B43"/>
    <mergeCell ref="A44:B44"/>
    <mergeCell ref="A45:B45"/>
    <mergeCell ref="A46:B46"/>
    <mergeCell ref="A47:B47"/>
    <mergeCell ref="A48:B48"/>
    <mergeCell ref="A49:B49"/>
    <mergeCell ref="A50:B50"/>
    <mergeCell ref="A51:B51"/>
    <mergeCell ref="A52:B52"/>
    <mergeCell ref="G59:H59"/>
    <mergeCell ref="A60:H60"/>
    <mergeCell ref="A54:B54"/>
    <mergeCell ref="A55:B55"/>
    <mergeCell ref="A56:B56"/>
    <mergeCell ref="A57:B57"/>
    <mergeCell ref="A58:B58"/>
    <mergeCell ref="C59:E59"/>
  </mergeCells>
  <conditionalFormatting sqref="G2:H2">
    <cfRule type="expression" dxfId="16" priority="1" stopIfTrue="1">
      <formula>"MM/DD/YY"</formula>
    </cfRule>
  </conditionalFormatting>
  <printOptions horizontalCentered="1"/>
  <pageMargins left="0.75" right="0.75" top="1" bottom="1" header="0" footer="0"/>
  <pageSetup scale="74" fitToHeight="0" orientation="portrait" r:id="rId1"/>
  <rowBreaks count="1" manualBreakCount="1">
    <brk id="32" max="16383" man="1"/>
  </rowBreaks>
  <drawing r:id="rId2"/>
  <legacyDrawing r:id="rId3"/>
  <controls>
    <mc:AlternateContent xmlns:mc="http://schemas.openxmlformats.org/markup-compatibility/2006">
      <mc:Choice Requires="x14">
        <control shapeId="13313" r:id="rId4" name="CommandButton1">
          <controlPr defaultSize="0" autoLine="0" altText="Add A Row Command Button" r:id="rId5">
            <anchor moveWithCells="1">
              <from>
                <xdr:col>9</xdr:col>
                <xdr:colOff>285750</xdr:colOff>
                <xdr:row>28</xdr:row>
                <xdr:rowOff>266700</xdr:rowOff>
              </from>
              <to>
                <xdr:col>11</xdr:col>
                <xdr:colOff>412750</xdr:colOff>
                <xdr:row>30</xdr:row>
                <xdr:rowOff>6350</xdr:rowOff>
              </to>
            </anchor>
          </controlPr>
        </control>
      </mc:Choice>
      <mc:Fallback>
        <control shapeId="13313" r:id="rId4" name="CommandButton1"/>
      </mc:Fallback>
    </mc:AlternateContent>
  </control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1BA8A-B7FD-441D-8C7C-E5A35209FBC8}">
  <sheetPr codeName="Sheet13">
    <pageSetUpPr fitToPage="1"/>
  </sheetPr>
  <dimension ref="A1:Z1003"/>
  <sheetViews>
    <sheetView topLeftCell="C6" zoomScaleNormal="10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171</v>
      </c>
      <c r="B1" s="387"/>
      <c r="C1" s="387"/>
      <c r="D1" s="387"/>
      <c r="E1" s="387"/>
      <c r="F1" s="387"/>
      <c r="G1" s="258" t="s">
        <v>165</v>
      </c>
      <c r="H1" s="259"/>
      <c r="I1" s="162" t="s">
        <v>166</v>
      </c>
      <c r="J1" s="252"/>
      <c r="K1" s="252"/>
      <c r="L1" s="252"/>
      <c r="M1" s="252"/>
      <c r="N1" s="252"/>
      <c r="O1" s="252"/>
    </row>
    <row r="2" spans="1:26" ht="15" customHeight="1" thickBot="1">
      <c r="A2" s="388"/>
      <c r="B2" s="389"/>
      <c r="C2" s="389"/>
      <c r="D2" s="389"/>
      <c r="E2" s="389"/>
      <c r="F2" s="389"/>
      <c r="G2" s="163" t="str">
        <f>IF(INPUT!C3=0,"",INPUT!C3)</f>
        <v>RLP # 36C248-25-R-0110 – EXHIBIT K</v>
      </c>
      <c r="H2" s="163"/>
      <c r="I2" s="164" t="str">
        <f>IF(INPUT!C10=0,"",INPUT!C10)</f>
        <v/>
      </c>
      <c r="J2" s="252"/>
      <c r="K2" s="252"/>
      <c r="L2" s="252"/>
      <c r="M2" s="252"/>
      <c r="N2" s="252"/>
      <c r="O2" s="252"/>
    </row>
    <row r="3" spans="1:26" s="10" customFormat="1" ht="36" customHeight="1" thickBot="1">
      <c r="A3" s="480" t="s">
        <v>237</v>
      </c>
      <c r="B3" s="402"/>
      <c r="C3" s="402"/>
      <c r="D3" s="402"/>
      <c r="E3" s="402"/>
      <c r="F3" s="402"/>
      <c r="G3" s="402"/>
      <c r="H3" s="402"/>
      <c r="I3" s="403"/>
      <c r="J3" s="253"/>
      <c r="K3" s="253"/>
      <c r="L3" s="253"/>
      <c r="M3" s="253"/>
      <c r="N3" s="253"/>
      <c r="O3" s="253"/>
    </row>
    <row r="4" spans="1:26" ht="15.5">
      <c r="A4" s="452" t="s">
        <v>93</v>
      </c>
      <c r="B4" s="453"/>
      <c r="C4" s="390" t="s">
        <v>91</v>
      </c>
      <c r="D4" s="382"/>
      <c r="E4" s="382"/>
      <c r="F4" s="383"/>
      <c r="G4" s="381" t="s">
        <v>92</v>
      </c>
      <c r="H4" s="382"/>
      <c r="I4" s="383"/>
      <c r="J4" s="252"/>
      <c r="K4" s="252"/>
      <c r="L4" s="252"/>
      <c r="M4" s="252"/>
      <c r="N4" s="252"/>
      <c r="O4" s="252"/>
    </row>
    <row r="5" spans="1:26" ht="15.75" customHeight="1" thickBot="1">
      <c r="A5" s="454"/>
      <c r="B5" s="455"/>
      <c r="C5" s="37" t="s">
        <v>129</v>
      </c>
      <c r="D5" s="27" t="s">
        <v>95</v>
      </c>
      <c r="E5" s="28" t="s">
        <v>61</v>
      </c>
      <c r="F5" s="38" t="s">
        <v>79</v>
      </c>
      <c r="G5" s="44" t="s">
        <v>96</v>
      </c>
      <c r="H5" s="30" t="s">
        <v>85</v>
      </c>
      <c r="I5" s="31" t="s">
        <v>79</v>
      </c>
      <c r="J5" s="252"/>
      <c r="K5" s="252"/>
      <c r="L5" s="252"/>
      <c r="M5" s="252"/>
      <c r="N5" s="252"/>
      <c r="O5" s="252"/>
    </row>
    <row r="6" spans="1:26" ht="21.75" customHeight="1">
      <c r="A6" s="476" t="s">
        <v>149</v>
      </c>
      <c r="B6" s="472"/>
      <c r="C6" s="34">
        <v>1</v>
      </c>
      <c r="D6" s="19" t="s">
        <v>148</v>
      </c>
      <c r="E6" s="11">
        <v>0</v>
      </c>
      <c r="F6" s="260">
        <f t="shared" ref="F6:F18" si="0">C6*E6</f>
        <v>0</v>
      </c>
      <c r="G6" s="34">
        <v>1</v>
      </c>
      <c r="H6" s="17">
        <v>0</v>
      </c>
      <c r="I6" s="261">
        <f t="shared" ref="I6:I18" si="1">G6*H6</f>
        <v>0</v>
      </c>
      <c r="J6" s="254"/>
      <c r="K6" s="254"/>
      <c r="L6" s="254"/>
      <c r="M6" s="254"/>
      <c r="N6" s="254"/>
      <c r="O6" s="254"/>
      <c r="P6" s="6"/>
      <c r="Q6" s="6"/>
      <c r="R6" s="6"/>
      <c r="S6" s="6"/>
      <c r="T6" s="6"/>
      <c r="U6" s="6"/>
      <c r="V6" s="6"/>
      <c r="W6" s="6"/>
      <c r="X6" s="6"/>
      <c r="Y6" s="6"/>
      <c r="Z6" s="6"/>
    </row>
    <row r="7" spans="1:26" ht="21.75" customHeight="1">
      <c r="A7" s="476"/>
      <c r="B7" s="472"/>
      <c r="C7" s="34"/>
      <c r="D7" s="19"/>
      <c r="E7" s="11"/>
      <c r="F7" s="260">
        <f>C7*E7</f>
        <v>0</v>
      </c>
      <c r="G7" s="43"/>
      <c r="H7" s="18"/>
      <c r="I7" s="179">
        <f t="shared" si="1"/>
        <v>0</v>
      </c>
      <c r="J7" s="254"/>
      <c r="K7" s="254"/>
      <c r="L7" s="254"/>
      <c r="M7" s="254"/>
      <c r="N7" s="254"/>
      <c r="O7" s="254"/>
      <c r="P7" s="6"/>
      <c r="Q7" s="6"/>
      <c r="R7" s="6"/>
      <c r="S7" s="6"/>
      <c r="T7" s="6"/>
      <c r="U7" s="6"/>
      <c r="V7" s="6"/>
      <c r="W7" s="6"/>
      <c r="X7" s="6"/>
      <c r="Y7" s="6"/>
      <c r="Z7" s="6"/>
    </row>
    <row r="8" spans="1:26" ht="21.75" customHeight="1">
      <c r="A8" s="476"/>
      <c r="B8" s="472"/>
      <c r="C8" s="34"/>
      <c r="D8" s="19"/>
      <c r="E8" s="11"/>
      <c r="F8" s="262">
        <f t="shared" si="0"/>
        <v>0</v>
      </c>
      <c r="G8" s="43"/>
      <c r="H8" s="18"/>
      <c r="I8" s="179">
        <f t="shared" si="1"/>
        <v>0</v>
      </c>
      <c r="J8" s="254"/>
      <c r="K8" s="254"/>
      <c r="L8" s="254"/>
      <c r="M8" s="254"/>
      <c r="N8" s="254"/>
      <c r="O8" s="254"/>
      <c r="P8" s="6"/>
      <c r="Q8" s="6"/>
      <c r="R8" s="6"/>
      <c r="S8" s="6"/>
      <c r="T8" s="6"/>
      <c r="U8" s="6"/>
      <c r="V8" s="6"/>
      <c r="W8" s="6"/>
      <c r="X8" s="6"/>
      <c r="Y8" s="6"/>
      <c r="Z8" s="6"/>
    </row>
    <row r="9" spans="1:26" ht="21.75" customHeight="1">
      <c r="A9" s="476"/>
      <c r="B9" s="472"/>
      <c r="C9" s="34"/>
      <c r="D9" s="19"/>
      <c r="E9" s="11"/>
      <c r="F9" s="262">
        <f t="shared" si="0"/>
        <v>0</v>
      </c>
      <c r="G9" s="43"/>
      <c r="H9" s="18"/>
      <c r="I9" s="179">
        <f t="shared" si="1"/>
        <v>0</v>
      </c>
      <c r="J9" s="254"/>
      <c r="K9" s="254"/>
      <c r="L9" s="254"/>
      <c r="M9" s="254"/>
      <c r="N9" s="254"/>
      <c r="O9" s="254"/>
      <c r="P9" s="6"/>
      <c r="Q9" s="6"/>
      <c r="R9" s="6"/>
      <c r="S9" s="6"/>
      <c r="T9" s="6"/>
      <c r="U9" s="6"/>
      <c r="V9" s="6"/>
      <c r="W9" s="6"/>
      <c r="X9" s="6"/>
      <c r="Y9" s="6"/>
      <c r="Z9" s="6"/>
    </row>
    <row r="10" spans="1:26" ht="21.75" customHeight="1">
      <c r="A10" s="476"/>
      <c r="B10" s="472"/>
      <c r="C10" s="34"/>
      <c r="D10" s="19"/>
      <c r="E10" s="11"/>
      <c r="F10" s="260">
        <f t="shared" si="0"/>
        <v>0</v>
      </c>
      <c r="G10" s="43"/>
      <c r="H10" s="18"/>
      <c r="I10" s="179">
        <f t="shared" si="1"/>
        <v>0</v>
      </c>
      <c r="J10" s="254"/>
      <c r="K10" s="254"/>
      <c r="L10" s="254"/>
      <c r="M10" s="254"/>
      <c r="N10" s="254"/>
      <c r="O10" s="254"/>
      <c r="P10" s="6"/>
      <c r="Q10" s="6"/>
      <c r="R10" s="6"/>
      <c r="S10" s="6"/>
      <c r="T10" s="6"/>
      <c r="U10" s="6"/>
      <c r="V10" s="6"/>
      <c r="W10" s="6"/>
      <c r="X10" s="6"/>
      <c r="Y10" s="6"/>
      <c r="Z10" s="6"/>
    </row>
    <row r="11" spans="1:26" ht="21.75" customHeight="1">
      <c r="A11" s="476"/>
      <c r="B11" s="472"/>
      <c r="C11" s="34"/>
      <c r="D11" s="19"/>
      <c r="E11" s="11"/>
      <c r="F11" s="260">
        <f t="shared" si="0"/>
        <v>0</v>
      </c>
      <c r="G11" s="43"/>
      <c r="H11" s="18"/>
      <c r="I11" s="179">
        <f t="shared" si="1"/>
        <v>0</v>
      </c>
      <c r="J11" s="254"/>
      <c r="K11" s="254"/>
      <c r="L11" s="254"/>
      <c r="M11" s="254"/>
      <c r="N11" s="254"/>
      <c r="O11" s="254"/>
      <c r="P11" s="6"/>
      <c r="Q11" s="6"/>
      <c r="R11" s="6"/>
      <c r="S11" s="6"/>
      <c r="T11" s="6"/>
      <c r="U11" s="6"/>
      <c r="V11" s="6"/>
      <c r="W11" s="6"/>
      <c r="X11" s="6"/>
      <c r="Y11" s="6"/>
      <c r="Z11" s="6"/>
    </row>
    <row r="12" spans="1:26" ht="21.75" customHeight="1">
      <c r="A12" s="476"/>
      <c r="B12" s="472"/>
      <c r="C12" s="34"/>
      <c r="D12" s="19"/>
      <c r="E12" s="11"/>
      <c r="F12" s="260">
        <f t="shared" si="0"/>
        <v>0</v>
      </c>
      <c r="G12" s="43"/>
      <c r="H12" s="18"/>
      <c r="I12" s="179">
        <f t="shared" si="1"/>
        <v>0</v>
      </c>
      <c r="J12" s="254"/>
      <c r="K12" s="254"/>
      <c r="L12" s="254"/>
      <c r="M12" s="254"/>
      <c r="N12" s="254"/>
      <c r="O12" s="254"/>
      <c r="P12" s="6"/>
      <c r="Q12" s="6"/>
      <c r="R12" s="6"/>
      <c r="S12" s="6"/>
      <c r="T12" s="6"/>
      <c r="U12" s="6"/>
      <c r="V12" s="6"/>
      <c r="W12" s="6"/>
      <c r="X12" s="6"/>
      <c r="Y12" s="6"/>
      <c r="Z12" s="6"/>
    </row>
    <row r="13" spans="1:26" ht="21.75" customHeight="1">
      <c r="A13" s="476"/>
      <c r="B13" s="472"/>
      <c r="C13" s="34"/>
      <c r="D13" s="19"/>
      <c r="E13" s="11"/>
      <c r="F13" s="260">
        <f t="shared" si="0"/>
        <v>0</v>
      </c>
      <c r="G13" s="43"/>
      <c r="H13" s="18"/>
      <c r="I13" s="179">
        <f t="shared" si="1"/>
        <v>0</v>
      </c>
      <c r="J13" s="254"/>
      <c r="K13" s="254"/>
      <c r="L13" s="254"/>
      <c r="M13" s="254"/>
      <c r="N13" s="254"/>
      <c r="O13" s="254"/>
      <c r="P13" s="6"/>
      <c r="Q13" s="6"/>
      <c r="R13" s="6"/>
      <c r="S13" s="6"/>
      <c r="T13" s="6"/>
      <c r="U13" s="6"/>
      <c r="V13" s="6"/>
      <c r="W13" s="6"/>
      <c r="X13" s="6"/>
      <c r="Y13" s="6"/>
      <c r="Z13" s="6"/>
    </row>
    <row r="14" spans="1:26" ht="21.75" customHeight="1">
      <c r="A14" s="476"/>
      <c r="B14" s="472"/>
      <c r="C14" s="34"/>
      <c r="D14" s="19"/>
      <c r="E14" s="11"/>
      <c r="F14" s="260">
        <f t="shared" si="0"/>
        <v>0</v>
      </c>
      <c r="G14" s="43"/>
      <c r="H14" s="18"/>
      <c r="I14" s="179">
        <f t="shared" si="1"/>
        <v>0</v>
      </c>
      <c r="J14" s="254"/>
      <c r="K14" s="254"/>
      <c r="L14" s="254"/>
      <c r="M14" s="254"/>
      <c r="N14" s="254"/>
      <c r="O14" s="254"/>
      <c r="P14" s="6"/>
      <c r="Q14" s="6"/>
      <c r="R14" s="6"/>
      <c r="S14" s="6"/>
      <c r="T14" s="6"/>
      <c r="U14" s="6"/>
      <c r="V14" s="6"/>
      <c r="W14" s="6"/>
      <c r="X14" s="6"/>
      <c r="Y14" s="6"/>
      <c r="Z14" s="6"/>
    </row>
    <row r="15" spans="1:26" ht="21.75" customHeight="1">
      <c r="A15" s="476"/>
      <c r="B15" s="472"/>
      <c r="C15" s="34"/>
      <c r="D15" s="19"/>
      <c r="E15" s="11"/>
      <c r="F15" s="260">
        <f t="shared" si="0"/>
        <v>0</v>
      </c>
      <c r="G15" s="43"/>
      <c r="H15" s="18"/>
      <c r="I15" s="179">
        <f t="shared" si="1"/>
        <v>0</v>
      </c>
      <c r="J15" s="254"/>
      <c r="K15" s="254"/>
      <c r="L15" s="254"/>
      <c r="M15" s="254"/>
      <c r="N15" s="254"/>
      <c r="O15" s="254"/>
      <c r="P15" s="6"/>
      <c r="Q15" s="6"/>
      <c r="R15" s="6"/>
      <c r="S15" s="6"/>
      <c r="T15" s="6"/>
      <c r="U15" s="6"/>
      <c r="V15" s="6"/>
      <c r="W15" s="6"/>
      <c r="X15" s="6"/>
      <c r="Y15" s="6"/>
      <c r="Z15" s="6"/>
    </row>
    <row r="16" spans="1:26" ht="21.75" customHeight="1">
      <c r="A16" s="476"/>
      <c r="B16" s="472"/>
      <c r="C16" s="34"/>
      <c r="D16" s="19"/>
      <c r="E16" s="11"/>
      <c r="F16" s="260">
        <f t="shared" si="0"/>
        <v>0</v>
      </c>
      <c r="G16" s="43"/>
      <c r="H16" s="18"/>
      <c r="I16" s="179">
        <f t="shared" si="1"/>
        <v>0</v>
      </c>
      <c r="J16" s="254"/>
      <c r="K16" s="254"/>
      <c r="L16" s="254"/>
      <c r="M16" s="254"/>
      <c r="N16" s="254"/>
      <c r="O16" s="254"/>
      <c r="P16" s="6"/>
      <c r="Q16" s="6"/>
      <c r="R16" s="6"/>
      <c r="S16" s="6"/>
      <c r="T16" s="6"/>
      <c r="U16" s="6"/>
      <c r="V16" s="6"/>
      <c r="W16" s="6"/>
      <c r="X16" s="6"/>
      <c r="Y16" s="6"/>
      <c r="Z16" s="6"/>
    </row>
    <row r="17" spans="1:26" ht="21.75" customHeight="1">
      <c r="A17" s="476"/>
      <c r="B17" s="472"/>
      <c r="C17" s="34"/>
      <c r="D17" s="19"/>
      <c r="E17" s="11"/>
      <c r="F17" s="260">
        <f t="shared" si="0"/>
        <v>0</v>
      </c>
      <c r="G17" s="43"/>
      <c r="H17" s="18"/>
      <c r="I17" s="179">
        <f t="shared" si="1"/>
        <v>0</v>
      </c>
      <c r="J17" s="254"/>
      <c r="K17" s="254"/>
      <c r="L17" s="254"/>
      <c r="M17" s="254"/>
      <c r="N17" s="254"/>
      <c r="O17" s="254"/>
      <c r="P17" s="6"/>
      <c r="Q17" s="6"/>
      <c r="R17" s="6"/>
      <c r="S17" s="6"/>
      <c r="T17" s="6"/>
      <c r="U17" s="6"/>
      <c r="V17" s="6"/>
      <c r="W17" s="6"/>
      <c r="X17" s="6"/>
      <c r="Y17" s="6"/>
      <c r="Z17" s="6"/>
    </row>
    <row r="18" spans="1:26" ht="21.75" customHeight="1">
      <c r="A18" s="476"/>
      <c r="B18" s="472"/>
      <c r="C18" s="34"/>
      <c r="D18" s="19"/>
      <c r="E18" s="11"/>
      <c r="F18" s="263">
        <f t="shared" si="0"/>
        <v>0</v>
      </c>
      <c r="G18" s="34"/>
      <c r="H18" s="16"/>
      <c r="I18" s="182">
        <f t="shared" si="1"/>
        <v>0</v>
      </c>
      <c r="J18" s="254"/>
      <c r="K18" s="254"/>
      <c r="L18" s="254"/>
      <c r="M18" s="254"/>
      <c r="N18" s="254"/>
      <c r="O18" s="254"/>
      <c r="P18" s="6"/>
      <c r="Q18" s="6"/>
      <c r="R18" s="6"/>
      <c r="S18" s="6"/>
      <c r="T18" s="6"/>
      <c r="U18" s="6"/>
      <c r="V18" s="6"/>
      <c r="W18" s="6"/>
      <c r="X18" s="6"/>
      <c r="Y18" s="6"/>
      <c r="Z18" s="6"/>
    </row>
    <row r="19" spans="1:26" ht="15.75" customHeight="1" thickBot="1">
      <c r="A19" s="46"/>
      <c r="B19" s="47"/>
      <c r="C19" s="467" t="s">
        <v>122</v>
      </c>
      <c r="D19" s="468"/>
      <c r="E19" s="468"/>
      <c r="F19" s="25">
        <f>SUM(F6:F18)</f>
        <v>0</v>
      </c>
      <c r="G19" s="467" t="s">
        <v>123</v>
      </c>
      <c r="H19" s="468"/>
      <c r="I19" s="25">
        <f>SUM(I6:I18)</f>
        <v>0</v>
      </c>
      <c r="J19" s="255"/>
      <c r="K19" s="255"/>
      <c r="L19" s="255"/>
      <c r="M19" s="255"/>
      <c r="N19" s="255"/>
      <c r="O19" s="255"/>
      <c r="P19" s="7"/>
      <c r="Q19" s="7"/>
      <c r="R19" s="7"/>
      <c r="S19" s="7"/>
      <c r="T19" s="7"/>
      <c r="U19" s="7"/>
      <c r="V19" s="7"/>
      <c r="W19" s="7"/>
      <c r="X19" s="7"/>
      <c r="Y19" s="7"/>
      <c r="Z19" s="7"/>
    </row>
    <row r="20" spans="1:26" ht="20.149999999999999" customHeight="1" thickBot="1">
      <c r="A20" s="469" t="s">
        <v>125</v>
      </c>
      <c r="B20" s="470"/>
      <c r="C20" s="470"/>
      <c r="D20" s="470"/>
      <c r="E20" s="470"/>
      <c r="F20" s="470"/>
      <c r="G20" s="470"/>
      <c r="H20" s="470"/>
      <c r="I20" s="26">
        <f>SUM(I19,F19)</f>
        <v>0</v>
      </c>
      <c r="J20" s="255"/>
      <c r="K20" s="255"/>
      <c r="L20" s="255"/>
      <c r="M20" s="255"/>
      <c r="N20" s="255"/>
      <c r="O20" s="255"/>
      <c r="P20" s="7"/>
      <c r="Q20" s="7"/>
      <c r="R20" s="7"/>
      <c r="S20" s="7"/>
      <c r="T20" s="7"/>
      <c r="U20" s="7"/>
      <c r="V20" s="7"/>
      <c r="W20" s="7"/>
      <c r="X20" s="7"/>
      <c r="Y20" s="7"/>
      <c r="Z20" s="7"/>
    </row>
    <row r="21" spans="1:26" ht="36" customHeight="1" thickBot="1">
      <c r="A21" s="477" t="s">
        <v>238</v>
      </c>
      <c r="B21" s="478"/>
      <c r="C21" s="478"/>
      <c r="D21" s="478"/>
      <c r="E21" s="478"/>
      <c r="F21" s="478"/>
      <c r="G21" s="478"/>
      <c r="H21" s="478"/>
      <c r="I21" s="479"/>
      <c r="J21" s="255"/>
      <c r="K21" s="255"/>
      <c r="L21" s="255"/>
      <c r="M21" s="255"/>
      <c r="N21" s="255"/>
      <c r="O21" s="255"/>
      <c r="P21" s="7"/>
      <c r="Q21" s="7"/>
      <c r="R21" s="7"/>
      <c r="S21" s="7"/>
      <c r="T21" s="7"/>
      <c r="U21" s="7"/>
      <c r="V21" s="7"/>
      <c r="W21" s="7"/>
      <c r="X21" s="7"/>
      <c r="Y21" s="7"/>
      <c r="Z21" s="7"/>
    </row>
    <row r="22" spans="1:26" ht="15.5">
      <c r="A22" s="452" t="s">
        <v>93</v>
      </c>
      <c r="B22" s="453"/>
      <c r="C22" s="390" t="s">
        <v>91</v>
      </c>
      <c r="D22" s="382"/>
      <c r="E22" s="382"/>
      <c r="F22" s="383"/>
      <c r="G22" s="381" t="s">
        <v>92</v>
      </c>
      <c r="H22" s="382"/>
      <c r="I22" s="383"/>
      <c r="J22" s="256"/>
      <c r="K22" s="256"/>
      <c r="L22" s="256"/>
      <c r="M22" s="256"/>
      <c r="N22" s="256"/>
      <c r="O22" s="256"/>
      <c r="P22" s="8"/>
      <c r="Q22" s="8"/>
      <c r="R22" s="8"/>
      <c r="S22" s="8"/>
      <c r="T22" s="8"/>
      <c r="U22" s="8"/>
      <c r="V22" s="8"/>
      <c r="W22" s="8"/>
      <c r="X22" s="8"/>
      <c r="Y22" s="8"/>
      <c r="Z22" s="8"/>
    </row>
    <row r="23" spans="1:26" ht="15.75" customHeight="1" thickBot="1">
      <c r="A23" s="454"/>
      <c r="B23" s="455"/>
      <c r="C23" s="37" t="s">
        <v>129</v>
      </c>
      <c r="D23" s="27" t="s">
        <v>95</v>
      </c>
      <c r="E23" s="28" t="s">
        <v>61</v>
      </c>
      <c r="F23" s="38" t="s">
        <v>79</v>
      </c>
      <c r="G23" s="44" t="s">
        <v>96</v>
      </c>
      <c r="H23" s="30" t="s">
        <v>85</v>
      </c>
      <c r="I23" s="31" t="s">
        <v>79</v>
      </c>
      <c r="J23" s="256"/>
      <c r="K23" s="256"/>
      <c r="L23" s="256"/>
      <c r="M23" s="256"/>
      <c r="N23" s="256"/>
      <c r="O23" s="256"/>
      <c r="P23" s="8"/>
      <c r="Q23" s="8"/>
      <c r="R23" s="8"/>
      <c r="S23" s="8"/>
      <c r="T23" s="8"/>
      <c r="U23" s="8"/>
      <c r="V23" s="8"/>
      <c r="W23" s="8"/>
      <c r="X23" s="8"/>
      <c r="Y23" s="8"/>
      <c r="Z23" s="8"/>
    </row>
    <row r="24" spans="1:26" ht="21.75" customHeight="1">
      <c r="A24" s="471"/>
      <c r="B24" s="472"/>
      <c r="C24" s="39">
        <v>1</v>
      </c>
      <c r="D24" s="20"/>
      <c r="E24" s="12">
        <v>0</v>
      </c>
      <c r="F24" s="40">
        <f t="shared" ref="F24:F36" si="2">C24*E24</f>
        <v>0</v>
      </c>
      <c r="G24" s="39">
        <v>1</v>
      </c>
      <c r="H24" s="12">
        <v>0</v>
      </c>
      <c r="I24" s="264">
        <f>G24*H24</f>
        <v>0</v>
      </c>
      <c r="J24" s="252"/>
      <c r="K24" s="252"/>
      <c r="L24" s="252"/>
      <c r="M24" s="252"/>
      <c r="N24" s="252"/>
      <c r="O24" s="252"/>
    </row>
    <row r="25" spans="1:26" ht="21.75" customHeight="1">
      <c r="A25" s="471"/>
      <c r="B25" s="472"/>
      <c r="C25" s="39"/>
      <c r="D25" s="20"/>
      <c r="E25" s="12"/>
      <c r="F25" s="40">
        <f t="shared" si="2"/>
        <v>0</v>
      </c>
      <c r="G25" s="39"/>
      <c r="H25" s="12"/>
      <c r="I25" s="206">
        <f t="shared" ref="I25:I36" si="3">G25*H25</f>
        <v>0</v>
      </c>
      <c r="J25" s="252"/>
      <c r="K25" s="252"/>
      <c r="L25" s="252"/>
      <c r="M25" s="252"/>
      <c r="N25" s="252"/>
      <c r="O25" s="252"/>
    </row>
    <row r="26" spans="1:26" ht="21.75" customHeight="1">
      <c r="A26" s="471"/>
      <c r="B26" s="472"/>
      <c r="C26" s="39"/>
      <c r="D26" s="20"/>
      <c r="E26" s="12"/>
      <c r="F26" s="40">
        <f t="shared" si="2"/>
        <v>0</v>
      </c>
      <c r="G26" s="39"/>
      <c r="H26" s="12"/>
      <c r="I26" s="206">
        <f t="shared" si="3"/>
        <v>0</v>
      </c>
      <c r="J26" s="252"/>
      <c r="K26" s="252"/>
      <c r="L26" s="252"/>
      <c r="M26" s="252"/>
      <c r="N26" s="252"/>
      <c r="O26" s="252"/>
    </row>
    <row r="27" spans="1:26" ht="21.75" customHeight="1">
      <c r="A27" s="471"/>
      <c r="B27" s="472"/>
      <c r="C27" s="39"/>
      <c r="D27" s="20"/>
      <c r="E27" s="12"/>
      <c r="F27" s="40">
        <f t="shared" si="2"/>
        <v>0</v>
      </c>
      <c r="G27" s="39"/>
      <c r="H27" s="12"/>
      <c r="I27" s="206">
        <f t="shared" si="3"/>
        <v>0</v>
      </c>
      <c r="J27" s="252"/>
      <c r="K27" s="252"/>
      <c r="L27" s="252"/>
      <c r="M27" s="252"/>
      <c r="N27" s="252"/>
      <c r="O27" s="252"/>
    </row>
    <row r="28" spans="1:26" ht="21.75" customHeight="1">
      <c r="A28" s="471"/>
      <c r="B28" s="472"/>
      <c r="C28" s="39"/>
      <c r="D28" s="20"/>
      <c r="E28" s="12"/>
      <c r="F28" s="40">
        <f t="shared" si="2"/>
        <v>0</v>
      </c>
      <c r="G28" s="39"/>
      <c r="H28" s="12"/>
      <c r="I28" s="206">
        <f t="shared" si="3"/>
        <v>0</v>
      </c>
      <c r="J28" s="252"/>
      <c r="K28" s="252"/>
      <c r="L28" s="252"/>
      <c r="M28" s="252"/>
      <c r="N28" s="252"/>
      <c r="O28" s="252"/>
    </row>
    <row r="29" spans="1:26" ht="21.75" customHeight="1">
      <c r="A29" s="471"/>
      <c r="B29" s="472"/>
      <c r="C29" s="39"/>
      <c r="D29" s="20"/>
      <c r="E29" s="12"/>
      <c r="F29" s="40">
        <f t="shared" si="2"/>
        <v>0</v>
      </c>
      <c r="G29" s="39"/>
      <c r="H29" s="12"/>
      <c r="I29" s="206">
        <f t="shared" si="3"/>
        <v>0</v>
      </c>
      <c r="J29" s="252"/>
      <c r="K29" s="252"/>
      <c r="L29" s="252"/>
      <c r="M29" s="252"/>
      <c r="N29" s="252"/>
      <c r="O29" s="252"/>
    </row>
    <row r="30" spans="1:26" ht="21.75" customHeight="1">
      <c r="A30" s="471"/>
      <c r="B30" s="472"/>
      <c r="C30" s="39"/>
      <c r="D30" s="20"/>
      <c r="E30" s="12"/>
      <c r="F30" s="40">
        <f t="shared" si="2"/>
        <v>0</v>
      </c>
      <c r="G30" s="39"/>
      <c r="H30" s="12"/>
      <c r="I30" s="206">
        <f t="shared" si="3"/>
        <v>0</v>
      </c>
      <c r="J30" s="252"/>
      <c r="K30" s="252"/>
      <c r="L30" s="252"/>
      <c r="M30" s="252"/>
      <c r="N30" s="252"/>
      <c r="O30" s="252"/>
    </row>
    <row r="31" spans="1:26" ht="21.75" customHeight="1">
      <c r="A31" s="471"/>
      <c r="B31" s="472"/>
      <c r="C31" s="39"/>
      <c r="D31" s="20"/>
      <c r="E31" s="12"/>
      <c r="F31" s="40">
        <f t="shared" si="2"/>
        <v>0</v>
      </c>
      <c r="G31" s="39"/>
      <c r="H31" s="12"/>
      <c r="I31" s="206">
        <f t="shared" si="3"/>
        <v>0</v>
      </c>
      <c r="J31" s="252"/>
      <c r="K31" s="252"/>
      <c r="L31" s="252"/>
      <c r="M31" s="252"/>
      <c r="N31" s="252"/>
      <c r="O31" s="252"/>
    </row>
    <row r="32" spans="1:26" ht="21.75" customHeight="1">
      <c r="A32" s="471"/>
      <c r="B32" s="472"/>
      <c r="C32" s="39"/>
      <c r="D32" s="20"/>
      <c r="E32" s="12"/>
      <c r="F32" s="40">
        <f t="shared" si="2"/>
        <v>0</v>
      </c>
      <c r="G32" s="39"/>
      <c r="H32" s="12"/>
      <c r="I32" s="206">
        <f t="shared" si="3"/>
        <v>0</v>
      </c>
      <c r="J32" s="252"/>
      <c r="K32" s="252"/>
      <c r="L32" s="252"/>
      <c r="M32" s="252"/>
      <c r="N32" s="252"/>
      <c r="O32" s="252"/>
    </row>
    <row r="33" spans="1:15" ht="21.75" customHeight="1">
      <c r="A33" s="471"/>
      <c r="B33" s="472"/>
      <c r="C33" s="39"/>
      <c r="D33" s="20"/>
      <c r="E33" s="12"/>
      <c r="F33" s="40">
        <f t="shared" si="2"/>
        <v>0</v>
      </c>
      <c r="G33" s="39"/>
      <c r="H33" s="12"/>
      <c r="I33" s="206">
        <f t="shared" si="3"/>
        <v>0</v>
      </c>
      <c r="J33" s="252"/>
      <c r="K33" s="252"/>
      <c r="L33" s="252"/>
      <c r="M33" s="252"/>
      <c r="N33" s="252"/>
      <c r="O33" s="252"/>
    </row>
    <row r="34" spans="1:15" ht="21.75" customHeight="1">
      <c r="A34" s="471"/>
      <c r="B34" s="472"/>
      <c r="C34" s="39"/>
      <c r="D34" s="20"/>
      <c r="E34" s="12"/>
      <c r="F34" s="40">
        <f t="shared" si="2"/>
        <v>0</v>
      </c>
      <c r="G34" s="39"/>
      <c r="H34" s="12"/>
      <c r="I34" s="206">
        <f t="shared" si="3"/>
        <v>0</v>
      </c>
      <c r="J34" s="252"/>
      <c r="K34" s="252"/>
      <c r="L34" s="252"/>
      <c r="M34" s="252"/>
      <c r="N34" s="252"/>
      <c r="O34" s="252"/>
    </row>
    <row r="35" spans="1:15" ht="21.75" customHeight="1">
      <c r="A35" s="471"/>
      <c r="B35" s="472"/>
      <c r="C35" s="39"/>
      <c r="D35" s="20"/>
      <c r="E35" s="12"/>
      <c r="F35" s="40">
        <f t="shared" si="2"/>
        <v>0</v>
      </c>
      <c r="G35" s="39"/>
      <c r="H35" s="12"/>
      <c r="I35" s="206">
        <f t="shared" si="3"/>
        <v>0</v>
      </c>
      <c r="J35" s="252"/>
      <c r="K35" s="252"/>
      <c r="L35" s="252"/>
      <c r="M35" s="252"/>
      <c r="N35" s="252"/>
      <c r="O35" s="252"/>
    </row>
    <row r="36" spans="1:15" ht="21.75" customHeight="1">
      <c r="A36" s="471"/>
      <c r="B36" s="472"/>
      <c r="C36" s="41"/>
      <c r="D36" s="21"/>
      <c r="E36" s="13"/>
      <c r="F36" s="42">
        <f t="shared" si="2"/>
        <v>0</v>
      </c>
      <c r="G36" s="41"/>
      <c r="H36" s="13"/>
      <c r="I36" s="265">
        <f t="shared" si="3"/>
        <v>0</v>
      </c>
      <c r="J36" s="252"/>
      <c r="K36" s="252"/>
      <c r="L36" s="252"/>
      <c r="M36" s="252"/>
      <c r="N36" s="252"/>
      <c r="O36" s="252"/>
    </row>
    <row r="37" spans="1:15" ht="15.75" customHeight="1" thickBot="1">
      <c r="A37" s="46"/>
      <c r="B37" s="47"/>
      <c r="C37" s="473" t="s">
        <v>122</v>
      </c>
      <c r="D37" s="474"/>
      <c r="E37" s="475"/>
      <c r="F37" s="266">
        <f>SUM(F24:F36)</f>
        <v>0</v>
      </c>
      <c r="G37" s="473" t="s">
        <v>123</v>
      </c>
      <c r="H37" s="475"/>
      <c r="I37" s="266">
        <f>SUM(I24:I36)</f>
        <v>0</v>
      </c>
      <c r="J37" s="252"/>
      <c r="K37" s="252"/>
      <c r="L37" s="252"/>
      <c r="M37" s="252"/>
      <c r="N37" s="252"/>
      <c r="O37" s="252"/>
    </row>
    <row r="38" spans="1:15" ht="20.149999999999999" customHeight="1" thickBot="1">
      <c r="A38" s="469" t="s">
        <v>124</v>
      </c>
      <c r="B38" s="470"/>
      <c r="C38" s="470"/>
      <c r="D38" s="470"/>
      <c r="E38" s="470"/>
      <c r="F38" s="470"/>
      <c r="G38" s="470"/>
      <c r="H38" s="470"/>
      <c r="I38" s="267">
        <f>SUM(I37,F37)</f>
        <v>0</v>
      </c>
      <c r="J38" s="252"/>
      <c r="K38" s="252"/>
      <c r="L38" s="252"/>
      <c r="M38" s="252"/>
      <c r="N38" s="252"/>
      <c r="O38" s="252"/>
    </row>
    <row r="39" spans="1:15" ht="15.75" customHeight="1">
      <c r="A39" s="252"/>
      <c r="B39" s="252"/>
      <c r="C39" s="252"/>
      <c r="D39" s="252"/>
      <c r="E39" s="257"/>
      <c r="F39" s="252"/>
      <c r="G39" s="252"/>
      <c r="H39" s="252"/>
      <c r="I39" s="252"/>
      <c r="J39" s="252"/>
      <c r="K39" s="252"/>
      <c r="L39" s="252"/>
      <c r="M39" s="252"/>
      <c r="N39" s="252"/>
      <c r="O39" s="252"/>
    </row>
    <row r="40" spans="1:15" ht="15.75" customHeight="1">
      <c r="A40" s="252"/>
      <c r="B40" s="252"/>
      <c r="C40" s="252"/>
      <c r="D40" s="252"/>
      <c r="E40" s="257"/>
      <c r="F40" s="252"/>
      <c r="G40" s="252"/>
      <c r="H40" s="252"/>
      <c r="I40" s="252"/>
      <c r="J40" s="252"/>
      <c r="K40" s="252"/>
      <c r="L40" s="252"/>
      <c r="M40" s="252"/>
      <c r="N40" s="252"/>
      <c r="O40" s="252"/>
    </row>
    <row r="41" spans="1:15" ht="15.75" customHeight="1">
      <c r="A41" s="252"/>
      <c r="B41" s="252"/>
      <c r="C41" s="252"/>
      <c r="D41" s="252"/>
      <c r="E41" s="257"/>
      <c r="F41" s="252"/>
      <c r="G41" s="252"/>
      <c r="H41" s="252"/>
      <c r="I41" s="252"/>
      <c r="J41" s="252"/>
      <c r="K41" s="252"/>
      <c r="L41" s="252"/>
      <c r="M41" s="252"/>
      <c r="N41" s="252"/>
      <c r="O41" s="252"/>
    </row>
    <row r="42" spans="1:15" ht="15.75" customHeight="1">
      <c r="A42" s="252"/>
      <c r="B42" s="252"/>
      <c r="C42" s="252"/>
      <c r="D42" s="252"/>
      <c r="E42" s="257"/>
      <c r="F42" s="252"/>
      <c r="G42" s="252"/>
      <c r="H42" s="252"/>
      <c r="I42" s="252"/>
      <c r="J42" s="252"/>
      <c r="K42" s="252"/>
      <c r="L42" s="252"/>
      <c r="M42" s="252"/>
      <c r="N42" s="252"/>
      <c r="O42" s="252"/>
    </row>
    <row r="43" spans="1:15" ht="15.75" customHeight="1">
      <c r="A43" s="252"/>
      <c r="B43" s="252"/>
      <c r="C43" s="252"/>
      <c r="D43" s="252"/>
      <c r="E43" s="257"/>
      <c r="F43" s="252"/>
      <c r="G43" s="252"/>
      <c r="H43" s="252"/>
      <c r="I43" s="252"/>
      <c r="J43" s="252"/>
      <c r="K43" s="252"/>
      <c r="L43" s="252"/>
      <c r="M43" s="252"/>
      <c r="N43" s="252"/>
      <c r="O43" s="252"/>
    </row>
    <row r="44" spans="1:15" ht="15.75" customHeight="1">
      <c r="A44" s="252"/>
      <c r="B44" s="252"/>
      <c r="C44" s="252"/>
      <c r="D44" s="252"/>
      <c r="E44" s="257"/>
      <c r="F44" s="252"/>
      <c r="G44" s="252"/>
      <c r="H44" s="252"/>
      <c r="I44" s="252"/>
      <c r="J44" s="252"/>
      <c r="K44" s="252"/>
      <c r="L44" s="252"/>
      <c r="M44" s="252"/>
      <c r="N44" s="252"/>
      <c r="O44" s="252"/>
    </row>
    <row r="45" spans="1:15" ht="15.75" customHeight="1">
      <c r="A45" s="252"/>
      <c r="B45" s="252"/>
      <c r="C45" s="252"/>
      <c r="D45" s="252"/>
      <c r="E45" s="257"/>
      <c r="F45" s="252"/>
      <c r="G45" s="252"/>
      <c r="H45" s="252"/>
      <c r="I45" s="252"/>
      <c r="J45" s="252"/>
      <c r="K45" s="252"/>
      <c r="L45" s="252"/>
      <c r="M45" s="252"/>
      <c r="N45" s="252"/>
      <c r="O45" s="252"/>
    </row>
    <row r="46" spans="1:15" ht="15.75" customHeight="1">
      <c r="A46" s="252"/>
      <c r="B46" s="252"/>
      <c r="C46" s="252"/>
      <c r="D46" s="252"/>
      <c r="E46" s="257"/>
      <c r="F46" s="252"/>
      <c r="G46" s="252"/>
      <c r="H46" s="252"/>
      <c r="I46" s="252"/>
      <c r="J46" s="252"/>
      <c r="K46" s="252"/>
      <c r="L46" s="252"/>
      <c r="M46" s="252"/>
      <c r="N46" s="252"/>
      <c r="O46" s="252"/>
    </row>
    <row r="47" spans="1:15" ht="15.75" customHeight="1">
      <c r="A47" s="252"/>
      <c r="B47" s="252"/>
      <c r="C47" s="252"/>
      <c r="D47" s="252"/>
      <c r="E47" s="257"/>
      <c r="F47" s="252"/>
      <c r="G47" s="252"/>
      <c r="H47" s="252"/>
      <c r="I47" s="252"/>
      <c r="J47" s="252"/>
      <c r="K47" s="252"/>
      <c r="L47" s="252"/>
      <c r="M47" s="252"/>
      <c r="N47" s="252"/>
      <c r="O47" s="252"/>
    </row>
    <row r="48" spans="1:15" ht="15.75" customHeight="1">
      <c r="A48" s="252"/>
      <c r="B48" s="252"/>
      <c r="C48" s="252"/>
      <c r="D48" s="252"/>
      <c r="E48" s="257"/>
      <c r="F48" s="252"/>
      <c r="G48" s="252"/>
      <c r="H48" s="252"/>
      <c r="I48" s="252"/>
      <c r="J48" s="252"/>
      <c r="K48" s="252"/>
      <c r="L48" s="252"/>
      <c r="M48" s="252"/>
      <c r="N48" s="252"/>
      <c r="O48" s="252"/>
    </row>
    <row r="49" spans="1:15" ht="15.75" customHeight="1">
      <c r="A49" s="252"/>
      <c r="B49" s="252"/>
      <c r="C49" s="252"/>
      <c r="D49" s="252"/>
      <c r="E49" s="257"/>
      <c r="F49" s="252"/>
      <c r="G49" s="252"/>
      <c r="H49" s="252"/>
      <c r="I49" s="252"/>
      <c r="J49" s="252"/>
      <c r="K49" s="252"/>
      <c r="L49" s="252"/>
      <c r="M49" s="252"/>
      <c r="N49" s="252"/>
      <c r="O49" s="252"/>
    </row>
    <row r="50" spans="1:15" ht="15.75" customHeight="1">
      <c r="E50" s="9"/>
    </row>
    <row r="51" spans="1:15" ht="15.75" customHeight="1">
      <c r="E51" s="9"/>
    </row>
    <row r="52" spans="1:15" ht="15.75" customHeight="1">
      <c r="E52" s="9"/>
    </row>
    <row r="53" spans="1:15" ht="15.75" customHeight="1">
      <c r="E53" s="9"/>
    </row>
    <row r="54" spans="1:15" ht="15.75" customHeight="1">
      <c r="E54" s="9"/>
    </row>
    <row r="55" spans="1:15" ht="15.75" customHeight="1">
      <c r="E55" s="9"/>
    </row>
    <row r="56" spans="1:15" ht="15.75" customHeight="1">
      <c r="E56" s="9"/>
    </row>
    <row r="57" spans="1:15" ht="15.75" customHeight="1">
      <c r="E57" s="9"/>
    </row>
    <row r="58" spans="1:15" ht="15.75" customHeight="1">
      <c r="E58" s="9"/>
    </row>
    <row r="59" spans="1:15" ht="15.75" customHeight="1">
      <c r="E59" s="9"/>
    </row>
    <row r="60" spans="1:15" ht="15.75" customHeight="1">
      <c r="E60" s="9"/>
    </row>
    <row r="61" spans="1:15" ht="15.75" customHeight="1">
      <c r="E61" s="9"/>
    </row>
    <row r="62" spans="1:15" ht="15.75" customHeight="1">
      <c r="E62" s="9"/>
    </row>
    <row r="63" spans="1:15" ht="15.75" customHeight="1">
      <c r="E63" s="9"/>
    </row>
    <row r="64" spans="1:1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6:B6"/>
    <mergeCell ref="A1:F2"/>
    <mergeCell ref="A3:I3"/>
    <mergeCell ref="A4:B5"/>
    <mergeCell ref="C4:F4"/>
    <mergeCell ref="G4:I4"/>
    <mergeCell ref="A18:B18"/>
    <mergeCell ref="A7:B7"/>
    <mergeCell ref="A8:B8"/>
    <mergeCell ref="A9:B9"/>
    <mergeCell ref="A10:B10"/>
    <mergeCell ref="A11:B11"/>
    <mergeCell ref="A12:B12"/>
    <mergeCell ref="A13:B13"/>
    <mergeCell ref="A14:B14"/>
    <mergeCell ref="A15:B15"/>
    <mergeCell ref="A16:B16"/>
    <mergeCell ref="A17:B17"/>
    <mergeCell ref="A29:B29"/>
    <mergeCell ref="C19:E19"/>
    <mergeCell ref="G19:H19"/>
    <mergeCell ref="A20:H20"/>
    <mergeCell ref="A21:I21"/>
    <mergeCell ref="A22:B23"/>
    <mergeCell ref="C22:F22"/>
    <mergeCell ref="G22:I22"/>
    <mergeCell ref="A24:B24"/>
    <mergeCell ref="A25:B25"/>
    <mergeCell ref="A26:B26"/>
    <mergeCell ref="A27:B27"/>
    <mergeCell ref="A28:B28"/>
    <mergeCell ref="A36:B36"/>
    <mergeCell ref="C37:E37"/>
    <mergeCell ref="G37:H37"/>
    <mergeCell ref="A38:H38"/>
    <mergeCell ref="A30:B30"/>
    <mergeCell ref="A31:B31"/>
    <mergeCell ref="A32:B32"/>
    <mergeCell ref="A33:B33"/>
    <mergeCell ref="A34:B34"/>
    <mergeCell ref="A35:B35"/>
  </mergeCells>
  <conditionalFormatting sqref="G2:H2">
    <cfRule type="expression" dxfId="15" priority="1" stopIfTrue="1">
      <formula>"MM/DD/YY"</formula>
    </cfRule>
  </conditionalFormatting>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14337" r:id="rId4" name="CommandButton1">
          <controlPr defaultSize="0" autoLine="0" altText="Add A Row Command Button" r:id="rId5">
            <anchor moveWithCells="1">
              <from>
                <xdr:col>9</xdr:col>
                <xdr:colOff>317500</xdr:colOff>
                <xdr:row>17</xdr:row>
                <xdr:rowOff>0</xdr:rowOff>
              </from>
              <to>
                <xdr:col>11</xdr:col>
                <xdr:colOff>444500</xdr:colOff>
                <xdr:row>18</xdr:row>
                <xdr:rowOff>12700</xdr:rowOff>
              </to>
            </anchor>
          </controlPr>
        </control>
      </mc:Choice>
      <mc:Fallback>
        <control shapeId="14337" r:id="rId4" name="CommandButton1"/>
      </mc:Fallback>
    </mc:AlternateContent>
  </control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ED1FB-7A43-4863-9F9C-64B7A91537DD}">
  <sheetPr codeName="Sheet14">
    <pageSetUpPr fitToPage="1"/>
  </sheetPr>
  <dimension ref="A1:Z1003"/>
  <sheetViews>
    <sheetView topLeftCell="C6" zoomScaleNormal="10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172</v>
      </c>
      <c r="B1" s="387"/>
      <c r="C1" s="387"/>
      <c r="D1" s="387"/>
      <c r="E1" s="387"/>
      <c r="F1" s="387"/>
      <c r="G1" s="258" t="s">
        <v>165</v>
      </c>
      <c r="H1" s="259"/>
      <c r="I1" s="162" t="s">
        <v>166</v>
      </c>
      <c r="J1" s="252"/>
      <c r="K1" s="252"/>
      <c r="L1" s="252"/>
      <c r="M1" s="252"/>
      <c r="N1" s="252"/>
      <c r="O1" s="252"/>
    </row>
    <row r="2" spans="1:26" ht="15" customHeight="1" thickBot="1">
      <c r="A2" s="388"/>
      <c r="B2" s="389"/>
      <c r="C2" s="389"/>
      <c r="D2" s="389"/>
      <c r="E2" s="389"/>
      <c r="F2" s="389"/>
      <c r="G2" s="163" t="str">
        <f>IF(INPUT!C3=0,"",INPUT!C3)</f>
        <v>RLP # 36C248-25-R-0110 – EXHIBIT K</v>
      </c>
      <c r="H2" s="163"/>
      <c r="I2" s="164" t="str">
        <f>IF(INPUT!C10=0,"",INPUT!C10)</f>
        <v/>
      </c>
      <c r="J2" s="252"/>
      <c r="K2" s="252"/>
      <c r="L2" s="252"/>
      <c r="M2" s="252"/>
      <c r="N2" s="252"/>
      <c r="O2" s="252"/>
    </row>
    <row r="3" spans="1:26" s="10" customFormat="1" ht="36" customHeight="1" thickBot="1">
      <c r="A3" s="480" t="s">
        <v>173</v>
      </c>
      <c r="B3" s="402"/>
      <c r="C3" s="402"/>
      <c r="D3" s="402"/>
      <c r="E3" s="402"/>
      <c r="F3" s="402"/>
      <c r="G3" s="402"/>
      <c r="H3" s="402"/>
      <c r="I3" s="403"/>
      <c r="J3" s="253"/>
      <c r="K3" s="253"/>
      <c r="L3" s="253"/>
      <c r="M3" s="253"/>
      <c r="N3" s="253"/>
      <c r="O3" s="253"/>
    </row>
    <row r="4" spans="1:26" ht="15.5">
      <c r="A4" s="452" t="s">
        <v>93</v>
      </c>
      <c r="B4" s="453"/>
      <c r="C4" s="390" t="s">
        <v>91</v>
      </c>
      <c r="D4" s="382"/>
      <c r="E4" s="382"/>
      <c r="F4" s="383"/>
      <c r="G4" s="381" t="s">
        <v>92</v>
      </c>
      <c r="H4" s="382"/>
      <c r="I4" s="383"/>
      <c r="J4" s="252"/>
      <c r="K4" s="252"/>
      <c r="L4" s="252"/>
      <c r="M4" s="252"/>
      <c r="N4" s="252"/>
      <c r="O4" s="252"/>
    </row>
    <row r="5" spans="1:26" ht="15.75" customHeight="1" thickBot="1">
      <c r="A5" s="454"/>
      <c r="B5" s="455"/>
      <c r="C5" s="37" t="s">
        <v>129</v>
      </c>
      <c r="D5" s="27" t="s">
        <v>95</v>
      </c>
      <c r="E5" s="28" t="s">
        <v>61</v>
      </c>
      <c r="F5" s="38" t="s">
        <v>79</v>
      </c>
      <c r="G5" s="44" t="s">
        <v>96</v>
      </c>
      <c r="H5" s="30" t="s">
        <v>85</v>
      </c>
      <c r="I5" s="31" t="s">
        <v>79</v>
      </c>
      <c r="J5" s="252"/>
      <c r="K5" s="252"/>
      <c r="L5" s="252"/>
      <c r="M5" s="252"/>
      <c r="N5" s="252"/>
      <c r="O5" s="252"/>
    </row>
    <row r="6" spans="1:26" ht="21.75" customHeight="1">
      <c r="A6" s="476" t="s">
        <v>149</v>
      </c>
      <c r="B6" s="472"/>
      <c r="C6" s="34">
        <v>1</v>
      </c>
      <c r="D6" s="19" t="s">
        <v>148</v>
      </c>
      <c r="E6" s="11">
        <v>0</v>
      </c>
      <c r="F6" s="260">
        <f t="shared" ref="F6:F18" si="0">C6*E6</f>
        <v>0</v>
      </c>
      <c r="G6" s="34">
        <v>1</v>
      </c>
      <c r="H6" s="17">
        <v>0</v>
      </c>
      <c r="I6" s="261">
        <f t="shared" ref="I6:I18" si="1">G6*H6</f>
        <v>0</v>
      </c>
      <c r="J6" s="254"/>
      <c r="K6" s="254"/>
      <c r="L6" s="254"/>
      <c r="M6" s="254"/>
      <c r="N6" s="254"/>
      <c r="O6" s="254"/>
      <c r="P6" s="6"/>
      <c r="Q6" s="6"/>
      <c r="R6" s="6"/>
      <c r="S6" s="6"/>
      <c r="T6" s="6"/>
      <c r="U6" s="6"/>
      <c r="V6" s="6"/>
      <c r="W6" s="6"/>
      <c r="X6" s="6"/>
      <c r="Y6" s="6"/>
      <c r="Z6" s="6"/>
    </row>
    <row r="7" spans="1:26" ht="21.75" customHeight="1">
      <c r="A7" s="476"/>
      <c r="B7" s="472"/>
      <c r="C7" s="34"/>
      <c r="D7" s="19"/>
      <c r="E7" s="11"/>
      <c r="F7" s="260">
        <f>C7*E7</f>
        <v>0</v>
      </c>
      <c r="G7" s="43"/>
      <c r="H7" s="18"/>
      <c r="I7" s="179">
        <f t="shared" si="1"/>
        <v>0</v>
      </c>
      <c r="J7" s="254"/>
      <c r="K7" s="254"/>
      <c r="L7" s="254"/>
      <c r="M7" s="254"/>
      <c r="N7" s="254"/>
      <c r="O7" s="254"/>
      <c r="P7" s="6"/>
      <c r="Q7" s="6"/>
      <c r="R7" s="6"/>
      <c r="S7" s="6"/>
      <c r="T7" s="6"/>
      <c r="U7" s="6"/>
      <c r="V7" s="6"/>
      <c r="W7" s="6"/>
      <c r="X7" s="6"/>
      <c r="Y7" s="6"/>
      <c r="Z7" s="6"/>
    </row>
    <row r="8" spans="1:26" ht="21.75" customHeight="1">
      <c r="A8" s="476"/>
      <c r="B8" s="472"/>
      <c r="C8" s="34"/>
      <c r="D8" s="19"/>
      <c r="E8" s="11"/>
      <c r="F8" s="262">
        <f t="shared" si="0"/>
        <v>0</v>
      </c>
      <c r="G8" s="43"/>
      <c r="H8" s="18"/>
      <c r="I8" s="179">
        <f t="shared" si="1"/>
        <v>0</v>
      </c>
      <c r="J8" s="254"/>
      <c r="K8" s="254"/>
      <c r="L8" s="254"/>
      <c r="M8" s="254"/>
      <c r="N8" s="254"/>
      <c r="O8" s="254"/>
      <c r="P8" s="6"/>
      <c r="Q8" s="6"/>
      <c r="R8" s="6"/>
      <c r="S8" s="6"/>
      <c r="T8" s="6"/>
      <c r="U8" s="6"/>
      <c r="V8" s="6"/>
      <c r="W8" s="6"/>
      <c r="X8" s="6"/>
      <c r="Y8" s="6"/>
      <c r="Z8" s="6"/>
    </row>
    <row r="9" spans="1:26" ht="21.75" customHeight="1">
      <c r="A9" s="476"/>
      <c r="B9" s="472"/>
      <c r="C9" s="34"/>
      <c r="D9" s="19"/>
      <c r="E9" s="11"/>
      <c r="F9" s="262">
        <f t="shared" si="0"/>
        <v>0</v>
      </c>
      <c r="G9" s="43"/>
      <c r="H9" s="18"/>
      <c r="I9" s="179">
        <f t="shared" si="1"/>
        <v>0</v>
      </c>
      <c r="J9" s="254"/>
      <c r="K9" s="254"/>
      <c r="L9" s="254"/>
      <c r="M9" s="254"/>
      <c r="N9" s="254"/>
      <c r="O9" s="254"/>
      <c r="P9" s="6"/>
      <c r="Q9" s="6"/>
      <c r="R9" s="6"/>
      <c r="S9" s="6"/>
      <c r="T9" s="6"/>
      <c r="U9" s="6"/>
      <c r="V9" s="6"/>
      <c r="W9" s="6"/>
      <c r="X9" s="6"/>
      <c r="Y9" s="6"/>
      <c r="Z9" s="6"/>
    </row>
    <row r="10" spans="1:26" ht="21.75" customHeight="1">
      <c r="A10" s="476"/>
      <c r="B10" s="472"/>
      <c r="C10" s="34"/>
      <c r="D10" s="19"/>
      <c r="E10" s="11"/>
      <c r="F10" s="260">
        <f t="shared" si="0"/>
        <v>0</v>
      </c>
      <c r="G10" s="43"/>
      <c r="H10" s="18"/>
      <c r="I10" s="179">
        <f t="shared" si="1"/>
        <v>0</v>
      </c>
      <c r="J10" s="254"/>
      <c r="K10" s="254"/>
      <c r="L10" s="254"/>
      <c r="M10" s="254"/>
      <c r="N10" s="254"/>
      <c r="O10" s="254"/>
      <c r="P10" s="6"/>
      <c r="Q10" s="6"/>
      <c r="R10" s="6"/>
      <c r="S10" s="6"/>
      <c r="T10" s="6"/>
      <c r="U10" s="6"/>
      <c r="V10" s="6"/>
      <c r="W10" s="6"/>
      <c r="X10" s="6"/>
      <c r="Y10" s="6"/>
      <c r="Z10" s="6"/>
    </row>
    <row r="11" spans="1:26" ht="21.75" customHeight="1">
      <c r="A11" s="476"/>
      <c r="B11" s="472"/>
      <c r="C11" s="34"/>
      <c r="D11" s="19"/>
      <c r="E11" s="11"/>
      <c r="F11" s="260">
        <f t="shared" si="0"/>
        <v>0</v>
      </c>
      <c r="G11" s="43"/>
      <c r="H11" s="18"/>
      <c r="I11" s="179">
        <f t="shared" si="1"/>
        <v>0</v>
      </c>
      <c r="J11" s="254"/>
      <c r="K11" s="254"/>
      <c r="L11" s="254"/>
      <c r="M11" s="254"/>
      <c r="N11" s="254"/>
      <c r="O11" s="254"/>
      <c r="P11" s="6"/>
      <c r="Q11" s="6"/>
      <c r="R11" s="6"/>
      <c r="S11" s="6"/>
      <c r="T11" s="6"/>
      <c r="U11" s="6"/>
      <c r="V11" s="6"/>
      <c r="W11" s="6"/>
      <c r="X11" s="6"/>
      <c r="Y11" s="6"/>
      <c r="Z11" s="6"/>
    </row>
    <row r="12" spans="1:26" ht="21.75" customHeight="1">
      <c r="A12" s="476"/>
      <c r="B12" s="472"/>
      <c r="C12" s="34"/>
      <c r="D12" s="19"/>
      <c r="E12" s="11"/>
      <c r="F12" s="260">
        <f t="shared" si="0"/>
        <v>0</v>
      </c>
      <c r="G12" s="43"/>
      <c r="H12" s="18"/>
      <c r="I12" s="179">
        <f t="shared" si="1"/>
        <v>0</v>
      </c>
      <c r="J12" s="254"/>
      <c r="K12" s="254"/>
      <c r="L12" s="254"/>
      <c r="M12" s="254"/>
      <c r="N12" s="254"/>
      <c r="O12" s="254"/>
      <c r="P12" s="6"/>
      <c r="Q12" s="6"/>
      <c r="R12" s="6"/>
      <c r="S12" s="6"/>
      <c r="T12" s="6"/>
      <c r="U12" s="6"/>
      <c r="V12" s="6"/>
      <c r="W12" s="6"/>
      <c r="X12" s="6"/>
      <c r="Y12" s="6"/>
      <c r="Z12" s="6"/>
    </row>
    <row r="13" spans="1:26" ht="21.75" customHeight="1">
      <c r="A13" s="476"/>
      <c r="B13" s="472"/>
      <c r="C13" s="34"/>
      <c r="D13" s="19"/>
      <c r="E13" s="11"/>
      <c r="F13" s="260">
        <f t="shared" si="0"/>
        <v>0</v>
      </c>
      <c r="G13" s="43"/>
      <c r="H13" s="18"/>
      <c r="I13" s="179">
        <f t="shared" si="1"/>
        <v>0</v>
      </c>
      <c r="J13" s="254"/>
      <c r="K13" s="254"/>
      <c r="L13" s="254"/>
      <c r="M13" s="254"/>
      <c r="N13" s="254"/>
      <c r="O13" s="254"/>
      <c r="P13" s="6"/>
      <c r="Q13" s="6"/>
      <c r="R13" s="6"/>
      <c r="S13" s="6"/>
      <c r="T13" s="6"/>
      <c r="U13" s="6"/>
      <c r="V13" s="6"/>
      <c r="W13" s="6"/>
      <c r="X13" s="6"/>
      <c r="Y13" s="6"/>
      <c r="Z13" s="6"/>
    </row>
    <row r="14" spans="1:26" ht="21.75" customHeight="1">
      <c r="A14" s="476"/>
      <c r="B14" s="472"/>
      <c r="C14" s="34"/>
      <c r="D14" s="19"/>
      <c r="E14" s="11"/>
      <c r="F14" s="260">
        <f t="shared" si="0"/>
        <v>0</v>
      </c>
      <c r="G14" s="43"/>
      <c r="H14" s="18"/>
      <c r="I14" s="179">
        <f t="shared" si="1"/>
        <v>0</v>
      </c>
      <c r="J14" s="254"/>
      <c r="K14" s="254"/>
      <c r="L14" s="254"/>
      <c r="M14" s="254"/>
      <c r="N14" s="254"/>
      <c r="O14" s="254"/>
      <c r="P14" s="6"/>
      <c r="Q14" s="6"/>
      <c r="R14" s="6"/>
      <c r="S14" s="6"/>
      <c r="T14" s="6"/>
      <c r="U14" s="6"/>
      <c r="V14" s="6"/>
      <c r="W14" s="6"/>
      <c r="X14" s="6"/>
      <c r="Y14" s="6"/>
      <c r="Z14" s="6"/>
    </row>
    <row r="15" spans="1:26" ht="21.75" customHeight="1">
      <c r="A15" s="476"/>
      <c r="B15" s="472"/>
      <c r="C15" s="34"/>
      <c r="D15" s="19"/>
      <c r="E15" s="11"/>
      <c r="F15" s="260">
        <f t="shared" si="0"/>
        <v>0</v>
      </c>
      <c r="G15" s="43"/>
      <c r="H15" s="18"/>
      <c r="I15" s="179">
        <f t="shared" si="1"/>
        <v>0</v>
      </c>
      <c r="J15" s="254"/>
      <c r="K15" s="254"/>
      <c r="L15" s="254"/>
      <c r="M15" s="254"/>
      <c r="N15" s="254"/>
      <c r="O15" s="254"/>
      <c r="P15" s="6"/>
      <c r="Q15" s="6"/>
      <c r="R15" s="6"/>
      <c r="S15" s="6"/>
      <c r="T15" s="6"/>
      <c r="U15" s="6"/>
      <c r="V15" s="6"/>
      <c r="W15" s="6"/>
      <c r="X15" s="6"/>
      <c r="Y15" s="6"/>
      <c r="Z15" s="6"/>
    </row>
    <row r="16" spans="1:26" ht="21.75" customHeight="1">
      <c r="A16" s="476"/>
      <c r="B16" s="472"/>
      <c r="C16" s="34"/>
      <c r="D16" s="19"/>
      <c r="E16" s="11"/>
      <c r="F16" s="260">
        <f t="shared" si="0"/>
        <v>0</v>
      </c>
      <c r="G16" s="43"/>
      <c r="H16" s="18"/>
      <c r="I16" s="179">
        <f t="shared" si="1"/>
        <v>0</v>
      </c>
      <c r="J16" s="254"/>
      <c r="K16" s="254"/>
      <c r="L16" s="254"/>
      <c r="M16" s="254"/>
      <c r="N16" s="254"/>
      <c r="O16" s="254"/>
      <c r="P16" s="6"/>
      <c r="Q16" s="6"/>
      <c r="R16" s="6"/>
      <c r="S16" s="6"/>
      <c r="T16" s="6"/>
      <c r="U16" s="6"/>
      <c r="V16" s="6"/>
      <c r="W16" s="6"/>
      <c r="X16" s="6"/>
      <c r="Y16" s="6"/>
      <c r="Z16" s="6"/>
    </row>
    <row r="17" spans="1:26" ht="21.75" customHeight="1">
      <c r="A17" s="476"/>
      <c r="B17" s="472"/>
      <c r="C17" s="34"/>
      <c r="D17" s="19"/>
      <c r="E17" s="11"/>
      <c r="F17" s="260">
        <f t="shared" si="0"/>
        <v>0</v>
      </c>
      <c r="G17" s="43"/>
      <c r="H17" s="18"/>
      <c r="I17" s="179">
        <f t="shared" si="1"/>
        <v>0</v>
      </c>
      <c r="J17" s="254"/>
      <c r="K17" s="254"/>
      <c r="L17" s="254"/>
      <c r="M17" s="254"/>
      <c r="N17" s="254"/>
      <c r="O17" s="254"/>
      <c r="P17" s="6"/>
      <c r="Q17" s="6"/>
      <c r="R17" s="6"/>
      <c r="S17" s="6"/>
      <c r="T17" s="6"/>
      <c r="U17" s="6"/>
      <c r="V17" s="6"/>
      <c r="W17" s="6"/>
      <c r="X17" s="6"/>
      <c r="Y17" s="6"/>
      <c r="Z17" s="6"/>
    </row>
    <row r="18" spans="1:26" ht="21.75" customHeight="1">
      <c r="A18" s="476"/>
      <c r="B18" s="472"/>
      <c r="C18" s="34"/>
      <c r="D18" s="19"/>
      <c r="E18" s="11"/>
      <c r="F18" s="263">
        <f t="shared" si="0"/>
        <v>0</v>
      </c>
      <c r="G18" s="34"/>
      <c r="H18" s="16"/>
      <c r="I18" s="182">
        <f t="shared" si="1"/>
        <v>0</v>
      </c>
      <c r="J18" s="254"/>
      <c r="K18" s="254"/>
      <c r="L18" s="254"/>
      <c r="M18" s="254"/>
      <c r="N18" s="254"/>
      <c r="O18" s="254"/>
      <c r="P18" s="6"/>
      <c r="Q18" s="6"/>
      <c r="R18" s="6"/>
      <c r="S18" s="6"/>
      <c r="T18" s="6"/>
      <c r="U18" s="6"/>
      <c r="V18" s="6"/>
      <c r="W18" s="6"/>
      <c r="X18" s="6"/>
      <c r="Y18" s="6"/>
      <c r="Z18" s="6"/>
    </row>
    <row r="19" spans="1:26" ht="15.75" customHeight="1" thickBot="1">
      <c r="A19" s="46"/>
      <c r="B19" s="47"/>
      <c r="C19" s="467" t="s">
        <v>122</v>
      </c>
      <c r="D19" s="468"/>
      <c r="E19" s="468"/>
      <c r="F19" s="25">
        <f>SUM(F6:F18)</f>
        <v>0</v>
      </c>
      <c r="G19" s="467" t="s">
        <v>123</v>
      </c>
      <c r="H19" s="468"/>
      <c r="I19" s="25">
        <f>SUM(I6:I18)</f>
        <v>0</v>
      </c>
      <c r="J19" s="255"/>
      <c r="K19" s="255"/>
      <c r="L19" s="255"/>
      <c r="M19" s="255"/>
      <c r="N19" s="255"/>
      <c r="O19" s="255"/>
      <c r="P19" s="7"/>
      <c r="Q19" s="7"/>
      <c r="R19" s="7"/>
      <c r="S19" s="7"/>
      <c r="T19" s="7"/>
      <c r="U19" s="7"/>
      <c r="V19" s="7"/>
      <c r="W19" s="7"/>
      <c r="X19" s="7"/>
      <c r="Y19" s="7"/>
      <c r="Z19" s="7"/>
    </row>
    <row r="20" spans="1:26" ht="20.149999999999999" customHeight="1" thickBot="1">
      <c r="A20" s="469" t="s">
        <v>125</v>
      </c>
      <c r="B20" s="470"/>
      <c r="C20" s="470"/>
      <c r="D20" s="470"/>
      <c r="E20" s="470"/>
      <c r="F20" s="470"/>
      <c r="G20" s="470"/>
      <c r="H20" s="470"/>
      <c r="I20" s="26">
        <f>SUM(I19,F19)</f>
        <v>0</v>
      </c>
      <c r="J20" s="255"/>
      <c r="K20" s="255"/>
      <c r="L20" s="255"/>
      <c r="M20" s="255"/>
      <c r="N20" s="255"/>
      <c r="O20" s="255"/>
      <c r="P20" s="7"/>
      <c r="Q20" s="7"/>
      <c r="R20" s="7"/>
      <c r="S20" s="7"/>
      <c r="T20" s="7"/>
      <c r="U20" s="7"/>
      <c r="V20" s="7"/>
      <c r="W20" s="7"/>
      <c r="X20" s="7"/>
      <c r="Y20" s="7"/>
      <c r="Z20" s="7"/>
    </row>
    <row r="21" spans="1:26" ht="36" customHeight="1" thickBot="1">
      <c r="A21" s="492" t="s">
        <v>174</v>
      </c>
      <c r="B21" s="493"/>
      <c r="C21" s="493"/>
      <c r="D21" s="493"/>
      <c r="E21" s="493"/>
      <c r="F21" s="493"/>
      <c r="G21" s="493"/>
      <c r="H21" s="493"/>
      <c r="I21" s="494"/>
      <c r="J21" s="255"/>
      <c r="K21" s="255"/>
      <c r="L21" s="255"/>
      <c r="M21" s="255"/>
      <c r="N21" s="255"/>
      <c r="O21" s="255"/>
      <c r="P21" s="7"/>
      <c r="Q21" s="7"/>
      <c r="R21" s="7"/>
      <c r="S21" s="7"/>
      <c r="T21" s="7"/>
      <c r="U21" s="7"/>
      <c r="V21" s="7"/>
      <c r="W21" s="7"/>
      <c r="X21" s="7"/>
      <c r="Y21" s="7"/>
      <c r="Z21" s="7"/>
    </row>
    <row r="22" spans="1:26" ht="15.5">
      <c r="A22" s="452" t="s">
        <v>93</v>
      </c>
      <c r="B22" s="453"/>
      <c r="C22" s="390" t="s">
        <v>91</v>
      </c>
      <c r="D22" s="382"/>
      <c r="E22" s="382"/>
      <c r="F22" s="383"/>
      <c r="G22" s="381" t="s">
        <v>92</v>
      </c>
      <c r="H22" s="382"/>
      <c r="I22" s="383"/>
      <c r="J22" s="256"/>
      <c r="K22" s="256"/>
      <c r="L22" s="256"/>
      <c r="M22" s="256"/>
      <c r="N22" s="256"/>
      <c r="O22" s="256"/>
      <c r="P22" s="8"/>
      <c r="Q22" s="8"/>
      <c r="R22" s="8"/>
      <c r="S22" s="8"/>
      <c r="T22" s="8"/>
      <c r="U22" s="8"/>
      <c r="V22" s="8"/>
      <c r="W22" s="8"/>
      <c r="X22" s="8"/>
      <c r="Y22" s="8"/>
      <c r="Z22" s="8"/>
    </row>
    <row r="23" spans="1:26" ht="15.75" customHeight="1" thickBot="1">
      <c r="A23" s="454"/>
      <c r="B23" s="455"/>
      <c r="C23" s="37" t="s">
        <v>129</v>
      </c>
      <c r="D23" s="27" t="s">
        <v>95</v>
      </c>
      <c r="E23" s="28" t="s">
        <v>61</v>
      </c>
      <c r="F23" s="38" t="s">
        <v>79</v>
      </c>
      <c r="G23" s="44" t="s">
        <v>96</v>
      </c>
      <c r="H23" s="30" t="s">
        <v>85</v>
      </c>
      <c r="I23" s="31" t="s">
        <v>79</v>
      </c>
      <c r="J23" s="256"/>
      <c r="K23" s="256"/>
      <c r="L23" s="256"/>
      <c r="M23" s="256"/>
      <c r="N23" s="256"/>
      <c r="O23" s="256"/>
      <c r="P23" s="8"/>
      <c r="Q23" s="8"/>
      <c r="R23" s="8"/>
      <c r="S23" s="8"/>
      <c r="T23" s="8"/>
      <c r="U23" s="8"/>
      <c r="V23" s="8"/>
      <c r="W23" s="8"/>
      <c r="X23" s="8"/>
      <c r="Y23" s="8"/>
      <c r="Z23" s="8"/>
    </row>
    <row r="24" spans="1:26" ht="21.75" customHeight="1">
      <c r="A24" s="471"/>
      <c r="B24" s="472"/>
      <c r="C24" s="39">
        <v>1</v>
      </c>
      <c r="D24" s="20"/>
      <c r="E24" s="12">
        <v>0</v>
      </c>
      <c r="F24" s="40">
        <f t="shared" ref="F24:F36" si="2">C24*E24</f>
        <v>0</v>
      </c>
      <c r="G24" s="39">
        <v>1</v>
      </c>
      <c r="H24" s="12">
        <v>0</v>
      </c>
      <c r="I24" s="264">
        <f>G24*H24</f>
        <v>0</v>
      </c>
      <c r="J24" s="252"/>
      <c r="K24" s="252"/>
      <c r="L24" s="252"/>
      <c r="M24" s="252"/>
      <c r="N24" s="252"/>
      <c r="O24" s="252"/>
    </row>
    <row r="25" spans="1:26" ht="21.75" customHeight="1">
      <c r="A25" s="471"/>
      <c r="B25" s="472"/>
      <c r="C25" s="39"/>
      <c r="D25" s="20"/>
      <c r="E25" s="12"/>
      <c r="F25" s="40">
        <f t="shared" si="2"/>
        <v>0</v>
      </c>
      <c r="G25" s="39"/>
      <c r="H25" s="12"/>
      <c r="I25" s="206">
        <f t="shared" ref="I25:I36" si="3">G25*H25</f>
        <v>0</v>
      </c>
      <c r="J25" s="252"/>
      <c r="K25" s="252"/>
      <c r="L25" s="252"/>
      <c r="M25" s="252"/>
      <c r="N25" s="252"/>
      <c r="O25" s="252"/>
    </row>
    <row r="26" spans="1:26" ht="21.75" customHeight="1">
      <c r="A26" s="471"/>
      <c r="B26" s="472"/>
      <c r="C26" s="39"/>
      <c r="D26" s="20"/>
      <c r="E26" s="12"/>
      <c r="F26" s="40">
        <f t="shared" si="2"/>
        <v>0</v>
      </c>
      <c r="G26" s="39"/>
      <c r="H26" s="12"/>
      <c r="I26" s="206">
        <f t="shared" si="3"/>
        <v>0</v>
      </c>
      <c r="J26" s="252"/>
      <c r="K26" s="252"/>
      <c r="L26" s="252"/>
      <c r="M26" s="252"/>
      <c r="N26" s="252"/>
      <c r="O26" s="252"/>
    </row>
    <row r="27" spans="1:26" ht="21.75" customHeight="1">
      <c r="A27" s="471"/>
      <c r="B27" s="472"/>
      <c r="C27" s="39"/>
      <c r="D27" s="20"/>
      <c r="E27" s="12"/>
      <c r="F27" s="40">
        <f t="shared" si="2"/>
        <v>0</v>
      </c>
      <c r="G27" s="39"/>
      <c r="H27" s="12"/>
      <c r="I27" s="206">
        <f t="shared" si="3"/>
        <v>0</v>
      </c>
      <c r="J27" s="252"/>
      <c r="K27" s="252"/>
      <c r="L27" s="252"/>
      <c r="M27" s="252"/>
      <c r="N27" s="252"/>
      <c r="O27" s="252"/>
    </row>
    <row r="28" spans="1:26" ht="21.75" customHeight="1">
      <c r="A28" s="471"/>
      <c r="B28" s="472"/>
      <c r="C28" s="39"/>
      <c r="D28" s="20"/>
      <c r="E28" s="12"/>
      <c r="F28" s="40">
        <f t="shared" si="2"/>
        <v>0</v>
      </c>
      <c r="G28" s="39"/>
      <c r="H28" s="12"/>
      <c r="I28" s="206">
        <f t="shared" si="3"/>
        <v>0</v>
      </c>
      <c r="J28" s="252"/>
      <c r="K28" s="252"/>
      <c r="L28" s="252"/>
      <c r="M28" s="252"/>
      <c r="N28" s="252"/>
      <c r="O28" s="252"/>
    </row>
    <row r="29" spans="1:26" ht="21.75" customHeight="1">
      <c r="A29" s="471"/>
      <c r="B29" s="472"/>
      <c r="C29" s="39"/>
      <c r="D29" s="20"/>
      <c r="E29" s="12"/>
      <c r="F29" s="40">
        <f t="shared" si="2"/>
        <v>0</v>
      </c>
      <c r="G29" s="39"/>
      <c r="H29" s="12"/>
      <c r="I29" s="206">
        <f t="shared" si="3"/>
        <v>0</v>
      </c>
      <c r="J29" s="252"/>
      <c r="K29" s="252"/>
      <c r="L29" s="252"/>
      <c r="M29" s="252"/>
      <c r="N29" s="252"/>
      <c r="O29" s="252"/>
    </row>
    <row r="30" spans="1:26" ht="21.75" customHeight="1">
      <c r="A30" s="471"/>
      <c r="B30" s="472"/>
      <c r="C30" s="39"/>
      <c r="D30" s="20"/>
      <c r="E30" s="12"/>
      <c r="F30" s="40">
        <f t="shared" si="2"/>
        <v>0</v>
      </c>
      <c r="G30" s="39"/>
      <c r="H30" s="12"/>
      <c r="I30" s="206">
        <f t="shared" si="3"/>
        <v>0</v>
      </c>
      <c r="J30" s="252"/>
      <c r="K30" s="252"/>
      <c r="L30" s="252"/>
      <c r="M30" s="252"/>
      <c r="N30" s="252"/>
      <c r="O30" s="252"/>
    </row>
    <row r="31" spans="1:26" ht="21.75" customHeight="1">
      <c r="A31" s="471"/>
      <c r="B31" s="472"/>
      <c r="C31" s="39"/>
      <c r="D31" s="20"/>
      <c r="E31" s="12"/>
      <c r="F31" s="40">
        <f t="shared" si="2"/>
        <v>0</v>
      </c>
      <c r="G31" s="39"/>
      <c r="H31" s="12"/>
      <c r="I31" s="206">
        <f t="shared" si="3"/>
        <v>0</v>
      </c>
      <c r="J31" s="252"/>
      <c r="K31" s="252"/>
      <c r="L31" s="252"/>
      <c r="M31" s="252"/>
      <c r="N31" s="252"/>
      <c r="O31" s="252"/>
    </row>
    <row r="32" spans="1:26" ht="21.75" customHeight="1">
      <c r="A32" s="471"/>
      <c r="B32" s="472"/>
      <c r="C32" s="39"/>
      <c r="D32" s="20"/>
      <c r="E32" s="12"/>
      <c r="F32" s="40">
        <f t="shared" si="2"/>
        <v>0</v>
      </c>
      <c r="G32" s="39"/>
      <c r="H32" s="12"/>
      <c r="I32" s="206">
        <f t="shared" si="3"/>
        <v>0</v>
      </c>
      <c r="J32" s="252"/>
      <c r="K32" s="252"/>
      <c r="L32" s="252"/>
      <c r="M32" s="252"/>
      <c r="N32" s="252"/>
      <c r="O32" s="252"/>
    </row>
    <row r="33" spans="1:15" ht="21.75" customHeight="1">
      <c r="A33" s="471"/>
      <c r="B33" s="472"/>
      <c r="C33" s="39"/>
      <c r="D33" s="20"/>
      <c r="E33" s="12"/>
      <c r="F33" s="40">
        <f t="shared" si="2"/>
        <v>0</v>
      </c>
      <c r="G33" s="39"/>
      <c r="H33" s="12"/>
      <c r="I33" s="206">
        <f t="shared" si="3"/>
        <v>0</v>
      </c>
      <c r="J33" s="252"/>
      <c r="K33" s="252"/>
      <c r="L33" s="252"/>
      <c r="M33" s="252"/>
      <c r="N33" s="252"/>
      <c r="O33" s="252"/>
    </row>
    <row r="34" spans="1:15" ht="21.75" customHeight="1">
      <c r="A34" s="471"/>
      <c r="B34" s="472"/>
      <c r="C34" s="39"/>
      <c r="D34" s="20"/>
      <c r="E34" s="12"/>
      <c r="F34" s="40">
        <f t="shared" si="2"/>
        <v>0</v>
      </c>
      <c r="G34" s="39"/>
      <c r="H34" s="12"/>
      <c r="I34" s="206">
        <f t="shared" si="3"/>
        <v>0</v>
      </c>
      <c r="J34" s="252"/>
      <c r="K34" s="252"/>
      <c r="L34" s="252"/>
      <c r="M34" s="252"/>
      <c r="N34" s="252"/>
      <c r="O34" s="252"/>
    </row>
    <row r="35" spans="1:15" ht="21.75" customHeight="1">
      <c r="A35" s="471"/>
      <c r="B35" s="472"/>
      <c r="C35" s="39"/>
      <c r="D35" s="20"/>
      <c r="E35" s="12"/>
      <c r="F35" s="40">
        <f t="shared" si="2"/>
        <v>0</v>
      </c>
      <c r="G35" s="39"/>
      <c r="H35" s="12"/>
      <c r="I35" s="206">
        <f t="shared" si="3"/>
        <v>0</v>
      </c>
      <c r="J35" s="252"/>
      <c r="K35" s="252"/>
      <c r="L35" s="252"/>
      <c r="M35" s="252"/>
      <c r="N35" s="252"/>
      <c r="O35" s="252"/>
    </row>
    <row r="36" spans="1:15" ht="21.75" customHeight="1">
      <c r="A36" s="471"/>
      <c r="B36" s="472"/>
      <c r="C36" s="41"/>
      <c r="D36" s="21"/>
      <c r="E36" s="13"/>
      <c r="F36" s="42">
        <f t="shared" si="2"/>
        <v>0</v>
      </c>
      <c r="G36" s="41"/>
      <c r="H36" s="13"/>
      <c r="I36" s="265">
        <f t="shared" si="3"/>
        <v>0</v>
      </c>
      <c r="J36" s="252"/>
      <c r="K36" s="252"/>
      <c r="L36" s="252"/>
      <c r="M36" s="252"/>
      <c r="N36" s="252"/>
      <c r="O36" s="252"/>
    </row>
    <row r="37" spans="1:15" ht="15.75" customHeight="1" thickBot="1">
      <c r="A37" s="46"/>
      <c r="B37" s="47"/>
      <c r="C37" s="473" t="s">
        <v>122</v>
      </c>
      <c r="D37" s="474"/>
      <c r="E37" s="475"/>
      <c r="F37" s="266">
        <f>SUM(F24:F36)</f>
        <v>0</v>
      </c>
      <c r="G37" s="473" t="s">
        <v>123</v>
      </c>
      <c r="H37" s="475"/>
      <c r="I37" s="266">
        <f>SUM(I24:I36)</f>
        <v>0</v>
      </c>
      <c r="J37" s="252"/>
      <c r="K37" s="252"/>
      <c r="L37" s="252"/>
      <c r="M37" s="252"/>
      <c r="N37" s="252"/>
      <c r="O37" s="252"/>
    </row>
    <row r="38" spans="1:15" ht="20.149999999999999" customHeight="1" thickBot="1">
      <c r="A38" s="469" t="s">
        <v>124</v>
      </c>
      <c r="B38" s="470"/>
      <c r="C38" s="470"/>
      <c r="D38" s="470"/>
      <c r="E38" s="470"/>
      <c r="F38" s="470"/>
      <c r="G38" s="470"/>
      <c r="H38" s="470"/>
      <c r="I38" s="267">
        <f>SUM(I37,F37)</f>
        <v>0</v>
      </c>
      <c r="J38" s="252"/>
      <c r="K38" s="252"/>
      <c r="L38" s="252"/>
      <c r="M38" s="252"/>
      <c r="N38" s="252"/>
      <c r="O38" s="252"/>
    </row>
    <row r="39" spans="1:15" ht="15.75" customHeight="1">
      <c r="A39" s="252"/>
      <c r="B39" s="252"/>
      <c r="C39" s="252"/>
      <c r="D39" s="252"/>
      <c r="E39" s="257"/>
      <c r="F39" s="252"/>
      <c r="G39" s="252"/>
      <c r="H39" s="252"/>
      <c r="I39" s="252"/>
      <c r="J39" s="252"/>
      <c r="K39" s="252"/>
      <c r="L39" s="252"/>
      <c r="M39" s="252"/>
      <c r="N39" s="252"/>
      <c r="O39" s="252"/>
    </row>
    <row r="40" spans="1:15" ht="15.75" customHeight="1">
      <c r="A40" s="252"/>
      <c r="B40" s="252"/>
      <c r="C40" s="252"/>
      <c r="D40" s="252"/>
      <c r="E40" s="257"/>
      <c r="F40" s="252"/>
      <c r="G40" s="252"/>
      <c r="H40" s="252"/>
      <c r="I40" s="252"/>
      <c r="J40" s="252"/>
      <c r="K40" s="252"/>
      <c r="L40" s="252"/>
      <c r="M40" s="252"/>
      <c r="N40" s="252"/>
      <c r="O40" s="252"/>
    </row>
    <row r="41" spans="1:15" ht="15.75" customHeight="1">
      <c r="A41" s="252"/>
      <c r="B41" s="252"/>
      <c r="C41" s="252"/>
      <c r="D41" s="252"/>
      <c r="E41" s="257"/>
      <c r="F41" s="252"/>
      <c r="G41" s="252"/>
      <c r="H41" s="252"/>
      <c r="I41" s="252"/>
      <c r="J41" s="252"/>
      <c r="K41" s="252"/>
      <c r="L41" s="252"/>
      <c r="M41" s="252"/>
      <c r="N41" s="252"/>
      <c r="O41" s="252"/>
    </row>
    <row r="42" spans="1:15" ht="15.75" customHeight="1">
      <c r="A42" s="252"/>
      <c r="B42" s="252"/>
      <c r="C42" s="252"/>
      <c r="D42" s="252"/>
      <c r="E42" s="257"/>
      <c r="F42" s="252"/>
      <c r="G42" s="252"/>
      <c r="H42" s="252"/>
      <c r="I42" s="252"/>
      <c r="J42" s="252"/>
      <c r="K42" s="252"/>
      <c r="L42" s="252"/>
      <c r="M42" s="252"/>
      <c r="N42" s="252"/>
      <c r="O42" s="252"/>
    </row>
    <row r="43" spans="1:15" ht="15.75" customHeight="1">
      <c r="A43" s="252"/>
      <c r="B43" s="252"/>
      <c r="C43" s="252"/>
      <c r="D43" s="252"/>
      <c r="E43" s="257"/>
      <c r="F43" s="252"/>
      <c r="G43" s="252"/>
      <c r="H43" s="252"/>
      <c r="I43" s="252"/>
      <c r="J43" s="252"/>
      <c r="K43" s="252"/>
      <c r="L43" s="252"/>
      <c r="M43" s="252"/>
      <c r="N43" s="252"/>
      <c r="O43" s="252"/>
    </row>
    <row r="44" spans="1:15" ht="15.75" customHeight="1">
      <c r="A44" s="252"/>
      <c r="B44" s="252"/>
      <c r="C44" s="252"/>
      <c r="D44" s="252"/>
      <c r="E44" s="257"/>
      <c r="F44" s="252"/>
      <c r="G44" s="252"/>
      <c r="H44" s="252"/>
      <c r="I44" s="252"/>
      <c r="J44" s="252"/>
      <c r="K44" s="252"/>
      <c r="L44" s="252"/>
      <c r="M44" s="252"/>
      <c r="N44" s="252"/>
      <c r="O44" s="252"/>
    </row>
    <row r="45" spans="1:15" ht="15.75" customHeight="1">
      <c r="A45" s="252"/>
      <c r="B45" s="252"/>
      <c r="C45" s="252"/>
      <c r="D45" s="252"/>
      <c r="E45" s="257"/>
      <c r="F45" s="252"/>
      <c r="G45" s="252"/>
      <c r="H45" s="252"/>
      <c r="I45" s="252"/>
      <c r="J45" s="252"/>
      <c r="K45" s="252"/>
      <c r="L45" s="252"/>
      <c r="M45" s="252"/>
      <c r="N45" s="252"/>
      <c r="O45" s="252"/>
    </row>
    <row r="46" spans="1:15" ht="15.75" customHeight="1">
      <c r="A46" s="252"/>
      <c r="B46" s="252"/>
      <c r="C46" s="252"/>
      <c r="D46" s="252"/>
      <c r="E46" s="257"/>
      <c r="F46" s="252"/>
      <c r="G46" s="252"/>
      <c r="H46" s="252"/>
      <c r="I46" s="252"/>
      <c r="J46" s="252"/>
      <c r="K46" s="252"/>
      <c r="L46" s="252"/>
      <c r="M46" s="252"/>
      <c r="N46" s="252"/>
      <c r="O46" s="252"/>
    </row>
    <row r="47" spans="1:15" ht="15.75" customHeight="1">
      <c r="A47" s="252"/>
      <c r="B47" s="252"/>
      <c r="C47" s="252"/>
      <c r="D47" s="252"/>
      <c r="E47" s="257"/>
      <c r="F47" s="252"/>
      <c r="G47" s="252"/>
      <c r="H47" s="252"/>
      <c r="I47" s="252"/>
      <c r="J47" s="252"/>
      <c r="K47" s="252"/>
      <c r="L47" s="252"/>
      <c r="M47" s="252"/>
      <c r="N47" s="252"/>
      <c r="O47" s="252"/>
    </row>
    <row r="48" spans="1:15" ht="15.75" customHeight="1">
      <c r="A48" s="252"/>
      <c r="B48" s="252"/>
      <c r="C48" s="252"/>
      <c r="D48" s="252"/>
      <c r="E48" s="257"/>
      <c r="F48" s="252"/>
      <c r="G48" s="252"/>
      <c r="H48" s="252"/>
      <c r="I48" s="252"/>
      <c r="J48" s="252"/>
      <c r="K48" s="252"/>
      <c r="L48" s="252"/>
      <c r="M48" s="252"/>
      <c r="N48" s="252"/>
      <c r="O48" s="252"/>
    </row>
    <row r="49" spans="1:15" ht="15.75" customHeight="1">
      <c r="A49" s="252"/>
      <c r="B49" s="252"/>
      <c r="C49" s="252"/>
      <c r="D49" s="252"/>
      <c r="E49" s="257"/>
      <c r="F49" s="252"/>
      <c r="G49" s="252"/>
      <c r="H49" s="252"/>
      <c r="I49" s="252"/>
      <c r="J49" s="252"/>
      <c r="K49" s="252"/>
      <c r="L49" s="252"/>
      <c r="M49" s="252"/>
      <c r="N49" s="252"/>
      <c r="O49" s="252"/>
    </row>
    <row r="50" spans="1:15" ht="15.75" customHeight="1">
      <c r="E50" s="9"/>
    </row>
    <row r="51" spans="1:15" ht="15.75" customHeight="1">
      <c r="E51" s="9"/>
    </row>
    <row r="52" spans="1:15" ht="15.75" customHeight="1">
      <c r="E52" s="9"/>
    </row>
    <row r="53" spans="1:15" ht="15.75" customHeight="1">
      <c r="E53" s="9"/>
    </row>
    <row r="54" spans="1:15" ht="15.75" customHeight="1">
      <c r="E54" s="9"/>
    </row>
    <row r="55" spans="1:15" ht="15.75" customHeight="1">
      <c r="E55" s="9"/>
    </row>
    <row r="56" spans="1:15" ht="15.75" customHeight="1">
      <c r="E56" s="9"/>
    </row>
    <row r="57" spans="1:15" ht="15.75" customHeight="1">
      <c r="E57" s="9"/>
    </row>
    <row r="58" spans="1:15" ht="15.75" customHeight="1">
      <c r="E58" s="9"/>
    </row>
    <row r="59" spans="1:15" ht="15.75" customHeight="1">
      <c r="E59" s="9"/>
    </row>
    <row r="60" spans="1:15" ht="15.75" customHeight="1">
      <c r="E60" s="9"/>
    </row>
    <row r="61" spans="1:15" ht="15.75" customHeight="1">
      <c r="E61" s="9"/>
    </row>
    <row r="62" spans="1:15" ht="15.75" customHeight="1">
      <c r="E62" s="9"/>
    </row>
    <row r="63" spans="1:15" ht="15.75" customHeight="1">
      <c r="E63" s="9"/>
    </row>
    <row r="64" spans="1:1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6:B6"/>
    <mergeCell ref="A1:F2"/>
    <mergeCell ref="A3:I3"/>
    <mergeCell ref="A4:B5"/>
    <mergeCell ref="C4:F4"/>
    <mergeCell ref="G4:I4"/>
    <mergeCell ref="A18:B18"/>
    <mergeCell ref="A7:B7"/>
    <mergeCell ref="A8:B8"/>
    <mergeCell ref="A9:B9"/>
    <mergeCell ref="A10:B10"/>
    <mergeCell ref="A11:B11"/>
    <mergeCell ref="A12:B12"/>
    <mergeCell ref="A13:B13"/>
    <mergeCell ref="A14:B14"/>
    <mergeCell ref="A15:B15"/>
    <mergeCell ref="A16:B16"/>
    <mergeCell ref="A17:B17"/>
    <mergeCell ref="A29:B29"/>
    <mergeCell ref="C19:E19"/>
    <mergeCell ref="G19:H19"/>
    <mergeCell ref="A20:H20"/>
    <mergeCell ref="A21:I21"/>
    <mergeCell ref="A22:B23"/>
    <mergeCell ref="C22:F22"/>
    <mergeCell ref="G22:I22"/>
    <mergeCell ref="A24:B24"/>
    <mergeCell ref="A25:B25"/>
    <mergeCell ref="A26:B26"/>
    <mergeCell ref="A27:B27"/>
    <mergeCell ref="A28:B28"/>
    <mergeCell ref="A36:B36"/>
    <mergeCell ref="C37:E37"/>
    <mergeCell ref="G37:H37"/>
    <mergeCell ref="A38:H38"/>
    <mergeCell ref="A30:B30"/>
    <mergeCell ref="A31:B31"/>
    <mergeCell ref="A32:B32"/>
    <mergeCell ref="A33:B33"/>
    <mergeCell ref="A34:B34"/>
    <mergeCell ref="A35:B35"/>
  </mergeCells>
  <conditionalFormatting sqref="G2:H2">
    <cfRule type="expression" dxfId="14" priority="1" stopIfTrue="1">
      <formula>"MM/DD/YY"</formula>
    </cfRule>
  </conditionalFormatting>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15361" r:id="rId4" name="CommandButton1">
          <controlPr defaultSize="0" autoLine="0" altText="Add A Row Command Button" r:id="rId5">
            <anchor moveWithCells="1">
              <from>
                <xdr:col>9</xdr:col>
                <xdr:colOff>304800</xdr:colOff>
                <xdr:row>16</xdr:row>
                <xdr:rowOff>266700</xdr:rowOff>
              </from>
              <to>
                <xdr:col>11</xdr:col>
                <xdr:colOff>431800</xdr:colOff>
                <xdr:row>18</xdr:row>
                <xdr:rowOff>6350</xdr:rowOff>
              </to>
            </anchor>
          </controlPr>
        </control>
      </mc:Choice>
      <mc:Fallback>
        <control shapeId="15361" r:id="rId4" name="CommandButton1"/>
      </mc:Fallback>
    </mc:AlternateContent>
  </control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B180C-6B16-4F55-B1CF-9CB8994A5A2D}">
  <sheetPr codeName="Sheet15">
    <pageSetUpPr fitToPage="1"/>
  </sheetPr>
  <dimension ref="A1:Z1015"/>
  <sheetViews>
    <sheetView topLeftCell="C18" zoomScaleNormal="100" zoomScaleSheetLayoutView="9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175</v>
      </c>
      <c r="B1" s="387"/>
      <c r="C1" s="387"/>
      <c r="D1" s="387"/>
      <c r="E1" s="387"/>
      <c r="F1" s="387"/>
      <c r="G1" s="258" t="s">
        <v>165</v>
      </c>
      <c r="H1" s="259"/>
      <c r="I1" s="162" t="s">
        <v>166</v>
      </c>
      <c r="J1" s="252"/>
      <c r="K1" s="252"/>
      <c r="L1" s="252"/>
      <c r="M1" s="252"/>
      <c r="N1" s="252"/>
    </row>
    <row r="2" spans="1:26" ht="15" customHeight="1" thickBot="1">
      <c r="A2" s="388"/>
      <c r="B2" s="389"/>
      <c r="C2" s="389"/>
      <c r="D2" s="389"/>
      <c r="E2" s="389"/>
      <c r="F2" s="389"/>
      <c r="G2" s="163" t="str">
        <f>IF(INPUT!C3=0,"",INPUT!C3)</f>
        <v>RLP # 36C248-25-R-0110 – EXHIBIT K</v>
      </c>
      <c r="H2" s="163"/>
      <c r="I2" s="164" t="str">
        <f>IF(INPUT!C10=0,"",INPUT!C10)</f>
        <v/>
      </c>
      <c r="J2" s="252"/>
      <c r="K2" s="252"/>
      <c r="L2" s="252"/>
      <c r="M2" s="252"/>
      <c r="N2" s="252"/>
    </row>
    <row r="3" spans="1:26" s="10" customFormat="1" ht="36" customHeight="1" thickBot="1">
      <c r="A3" s="480" t="s">
        <v>176</v>
      </c>
      <c r="B3" s="402"/>
      <c r="C3" s="402"/>
      <c r="D3" s="402"/>
      <c r="E3" s="402"/>
      <c r="F3" s="402"/>
      <c r="G3" s="402"/>
      <c r="H3" s="402"/>
      <c r="I3" s="403"/>
      <c r="J3" s="253"/>
      <c r="K3" s="253"/>
      <c r="L3" s="253"/>
      <c r="M3" s="253"/>
      <c r="N3" s="253"/>
    </row>
    <row r="4" spans="1:26" ht="15.5">
      <c r="A4" s="498" t="s">
        <v>93</v>
      </c>
      <c r="B4" s="499"/>
      <c r="C4" s="390" t="s">
        <v>91</v>
      </c>
      <c r="D4" s="382"/>
      <c r="E4" s="382"/>
      <c r="F4" s="383"/>
      <c r="G4" s="381" t="s">
        <v>92</v>
      </c>
      <c r="H4" s="382"/>
      <c r="I4" s="383"/>
      <c r="J4" s="252"/>
      <c r="K4" s="252"/>
      <c r="L4" s="252"/>
      <c r="M4" s="252"/>
      <c r="N4" s="252"/>
    </row>
    <row r="5" spans="1:26" ht="15.75" customHeight="1" thickBot="1">
      <c r="A5" s="454"/>
      <c r="B5" s="500"/>
      <c r="C5" s="37" t="s">
        <v>129</v>
      </c>
      <c r="D5" s="27" t="s">
        <v>95</v>
      </c>
      <c r="E5" s="28" t="s">
        <v>61</v>
      </c>
      <c r="F5" s="38" t="s">
        <v>79</v>
      </c>
      <c r="G5" s="44" t="s">
        <v>96</v>
      </c>
      <c r="H5" s="30" t="s">
        <v>85</v>
      </c>
      <c r="I5" s="31" t="s">
        <v>79</v>
      </c>
      <c r="J5" s="252"/>
      <c r="K5" s="252"/>
      <c r="L5" s="252"/>
      <c r="M5" s="252"/>
      <c r="N5" s="252"/>
    </row>
    <row r="6" spans="1:26" ht="21.75" customHeight="1">
      <c r="A6" s="476" t="s">
        <v>149</v>
      </c>
      <c r="B6" s="497"/>
      <c r="C6" s="34">
        <v>1</v>
      </c>
      <c r="D6" s="19" t="s">
        <v>148</v>
      </c>
      <c r="E6" s="11">
        <v>0</v>
      </c>
      <c r="F6" s="260">
        <f t="shared" ref="F6:F30" si="0">C6*E6</f>
        <v>0</v>
      </c>
      <c r="G6" s="34">
        <v>1</v>
      </c>
      <c r="H6" s="17">
        <v>0</v>
      </c>
      <c r="I6" s="261">
        <f t="shared" ref="I6:I30" si="1">G6*H6</f>
        <v>0</v>
      </c>
      <c r="J6" s="254"/>
      <c r="K6" s="254"/>
      <c r="L6" s="254"/>
      <c r="M6" s="254"/>
      <c r="N6" s="254"/>
      <c r="O6" s="6"/>
      <c r="P6" s="6"/>
      <c r="Q6" s="6"/>
      <c r="R6" s="6"/>
      <c r="S6" s="6"/>
      <c r="T6" s="6"/>
      <c r="U6" s="6"/>
      <c r="V6" s="6"/>
      <c r="W6" s="6"/>
      <c r="X6" s="6"/>
      <c r="Y6" s="6"/>
      <c r="Z6" s="6"/>
    </row>
    <row r="7" spans="1:26" ht="21.75" customHeight="1">
      <c r="A7" s="487"/>
      <c r="B7" s="495"/>
      <c r="C7" s="34"/>
      <c r="D7" s="19"/>
      <c r="E7" s="11"/>
      <c r="F7" s="260">
        <f>C7*E7</f>
        <v>0</v>
      </c>
      <c r="G7" s="43"/>
      <c r="H7" s="18"/>
      <c r="I7" s="179">
        <f t="shared" si="1"/>
        <v>0</v>
      </c>
      <c r="J7" s="254"/>
      <c r="K7" s="254"/>
      <c r="L7" s="254"/>
      <c r="M7" s="254"/>
      <c r="N7" s="254"/>
      <c r="O7" s="6"/>
      <c r="P7" s="6"/>
      <c r="Q7" s="6"/>
      <c r="R7" s="6"/>
      <c r="S7" s="6"/>
      <c r="T7" s="6"/>
      <c r="U7" s="6"/>
      <c r="V7" s="6"/>
      <c r="W7" s="6"/>
      <c r="X7" s="6"/>
      <c r="Y7" s="6"/>
      <c r="Z7" s="6"/>
    </row>
    <row r="8" spans="1:26" ht="21.75" customHeight="1">
      <c r="A8" s="487"/>
      <c r="B8" s="495"/>
      <c r="C8" s="34"/>
      <c r="D8" s="19"/>
      <c r="E8" s="11"/>
      <c r="F8" s="262">
        <f t="shared" si="0"/>
        <v>0</v>
      </c>
      <c r="G8" s="43"/>
      <c r="H8" s="18"/>
      <c r="I8" s="179">
        <f t="shared" si="1"/>
        <v>0</v>
      </c>
      <c r="J8" s="254"/>
      <c r="K8" s="254"/>
      <c r="L8" s="254"/>
      <c r="M8" s="254"/>
      <c r="N8" s="254"/>
      <c r="O8" s="6"/>
      <c r="P8" s="6"/>
      <c r="Q8" s="6"/>
      <c r="R8" s="6"/>
      <c r="S8" s="6"/>
      <c r="T8" s="6"/>
      <c r="U8" s="6"/>
      <c r="V8" s="6"/>
      <c r="W8" s="6"/>
      <c r="X8" s="6"/>
      <c r="Y8" s="6"/>
      <c r="Z8" s="6"/>
    </row>
    <row r="9" spans="1:26" ht="21.75" customHeight="1">
      <c r="A9" s="487"/>
      <c r="B9" s="495"/>
      <c r="C9" s="34"/>
      <c r="D9" s="19"/>
      <c r="E9" s="11"/>
      <c r="F9" s="262">
        <f t="shared" si="0"/>
        <v>0</v>
      </c>
      <c r="G9" s="43"/>
      <c r="H9" s="18"/>
      <c r="I9" s="179">
        <f t="shared" si="1"/>
        <v>0</v>
      </c>
      <c r="J9" s="254"/>
      <c r="K9" s="254"/>
      <c r="L9" s="254"/>
      <c r="M9" s="254"/>
      <c r="N9" s="254"/>
      <c r="O9" s="6"/>
      <c r="P9" s="6"/>
      <c r="Q9" s="6"/>
      <c r="R9" s="6"/>
      <c r="S9" s="6"/>
      <c r="T9" s="6"/>
      <c r="U9" s="6"/>
      <c r="V9" s="6"/>
      <c r="W9" s="6"/>
      <c r="X9" s="6"/>
      <c r="Y9" s="6"/>
      <c r="Z9" s="6"/>
    </row>
    <row r="10" spans="1:26" ht="21.75" customHeight="1">
      <c r="A10" s="487"/>
      <c r="B10" s="495"/>
      <c r="C10" s="34"/>
      <c r="D10" s="19"/>
      <c r="E10" s="11"/>
      <c r="F10" s="260">
        <f t="shared" si="0"/>
        <v>0</v>
      </c>
      <c r="G10" s="43"/>
      <c r="H10" s="18"/>
      <c r="I10" s="179">
        <f t="shared" si="1"/>
        <v>0</v>
      </c>
      <c r="J10" s="254"/>
      <c r="K10" s="254"/>
      <c r="L10" s="254"/>
      <c r="M10" s="254"/>
      <c r="N10" s="254"/>
      <c r="O10" s="6"/>
      <c r="P10" s="6"/>
      <c r="Q10" s="6"/>
      <c r="R10" s="6"/>
      <c r="S10" s="6"/>
      <c r="T10" s="6"/>
      <c r="U10" s="6"/>
      <c r="V10" s="6"/>
      <c r="W10" s="6"/>
      <c r="X10" s="6"/>
      <c r="Y10" s="6"/>
      <c r="Z10" s="6"/>
    </row>
    <row r="11" spans="1:26" ht="21.75" customHeight="1">
      <c r="A11" s="490"/>
      <c r="B11" s="496"/>
      <c r="C11" s="34"/>
      <c r="D11" s="19"/>
      <c r="E11" s="11"/>
      <c r="F11" s="260">
        <f t="shared" si="0"/>
        <v>0</v>
      </c>
      <c r="G11" s="43"/>
      <c r="H11" s="18"/>
      <c r="I11" s="179">
        <f t="shared" si="1"/>
        <v>0</v>
      </c>
      <c r="J11" s="254"/>
      <c r="K11" s="254"/>
      <c r="L11" s="254"/>
      <c r="M11" s="254"/>
      <c r="N11" s="254"/>
      <c r="O11" s="6"/>
      <c r="P11" s="6"/>
      <c r="Q11" s="6"/>
      <c r="R11" s="6"/>
      <c r="S11" s="6"/>
      <c r="T11" s="6"/>
      <c r="U11" s="6"/>
      <c r="V11" s="6"/>
      <c r="W11" s="6"/>
      <c r="X11" s="6"/>
      <c r="Y11" s="6"/>
      <c r="Z11" s="6"/>
    </row>
    <row r="12" spans="1:26" ht="21.75" customHeight="1">
      <c r="A12" s="487"/>
      <c r="B12" s="495"/>
      <c r="C12" s="34"/>
      <c r="D12" s="19"/>
      <c r="E12" s="11"/>
      <c r="F12" s="260">
        <f t="shared" si="0"/>
        <v>0</v>
      </c>
      <c r="G12" s="43"/>
      <c r="H12" s="18"/>
      <c r="I12" s="179">
        <f t="shared" si="1"/>
        <v>0</v>
      </c>
      <c r="J12" s="254"/>
      <c r="K12" s="254"/>
      <c r="L12" s="254"/>
      <c r="M12" s="254"/>
      <c r="N12" s="254"/>
      <c r="O12" s="6"/>
      <c r="P12" s="6"/>
      <c r="Q12" s="6"/>
      <c r="R12" s="6"/>
      <c r="S12" s="6"/>
      <c r="T12" s="6"/>
      <c r="U12" s="6"/>
      <c r="V12" s="6"/>
      <c r="W12" s="6"/>
      <c r="X12" s="6"/>
      <c r="Y12" s="6"/>
      <c r="Z12" s="6"/>
    </row>
    <row r="13" spans="1:26" ht="21.75" customHeight="1">
      <c r="A13" s="490"/>
      <c r="B13" s="496"/>
      <c r="C13" s="34"/>
      <c r="D13" s="19"/>
      <c r="E13" s="11"/>
      <c r="F13" s="260">
        <f t="shared" si="0"/>
        <v>0</v>
      </c>
      <c r="G13" s="43"/>
      <c r="H13" s="18"/>
      <c r="I13" s="179">
        <f t="shared" si="1"/>
        <v>0</v>
      </c>
      <c r="J13" s="254"/>
      <c r="K13" s="254"/>
      <c r="L13" s="254"/>
      <c r="M13" s="254"/>
      <c r="N13" s="254"/>
      <c r="O13" s="6"/>
      <c r="P13" s="6"/>
      <c r="Q13" s="6"/>
      <c r="R13" s="6"/>
      <c r="S13" s="6"/>
      <c r="T13" s="6"/>
      <c r="U13" s="6"/>
      <c r="V13" s="6"/>
      <c r="W13" s="6"/>
      <c r="X13" s="6"/>
      <c r="Y13" s="6"/>
      <c r="Z13" s="6"/>
    </row>
    <row r="14" spans="1:26" ht="21.75" customHeight="1">
      <c r="A14" s="490"/>
      <c r="B14" s="496"/>
      <c r="C14" s="34"/>
      <c r="D14" s="19"/>
      <c r="E14" s="11"/>
      <c r="F14" s="260">
        <f>C14*E14</f>
        <v>0</v>
      </c>
      <c r="G14" s="43"/>
      <c r="H14" s="18"/>
      <c r="I14" s="179">
        <f t="shared" si="1"/>
        <v>0</v>
      </c>
      <c r="J14" s="254"/>
      <c r="K14" s="254"/>
      <c r="L14" s="254"/>
      <c r="M14" s="254"/>
      <c r="N14" s="254"/>
      <c r="O14" s="6"/>
      <c r="P14" s="6"/>
      <c r="Q14" s="6"/>
      <c r="R14" s="6"/>
      <c r="S14" s="6"/>
      <c r="T14" s="6"/>
      <c r="U14" s="6"/>
      <c r="V14" s="6"/>
      <c r="W14" s="6"/>
      <c r="X14" s="6"/>
      <c r="Y14" s="6"/>
      <c r="Z14" s="6"/>
    </row>
    <row r="15" spans="1:26" ht="21.75" customHeight="1">
      <c r="A15" s="490"/>
      <c r="B15" s="496"/>
      <c r="C15" s="34"/>
      <c r="D15" s="19"/>
      <c r="E15" s="11"/>
      <c r="F15" s="260">
        <f t="shared" si="0"/>
        <v>0</v>
      </c>
      <c r="G15" s="43"/>
      <c r="H15" s="18"/>
      <c r="I15" s="179">
        <f t="shared" si="1"/>
        <v>0</v>
      </c>
      <c r="J15" s="254"/>
      <c r="K15" s="254"/>
      <c r="L15" s="254"/>
      <c r="M15" s="254"/>
      <c r="N15" s="254"/>
      <c r="O15" s="6"/>
      <c r="P15" s="6"/>
      <c r="Q15" s="6"/>
      <c r="R15" s="6"/>
      <c r="S15" s="6"/>
      <c r="T15" s="6"/>
      <c r="U15" s="6"/>
      <c r="V15" s="6"/>
      <c r="W15" s="6"/>
      <c r="X15" s="6"/>
      <c r="Y15" s="6"/>
      <c r="Z15" s="6"/>
    </row>
    <row r="16" spans="1:26" ht="21.75" customHeight="1">
      <c r="A16" s="490"/>
      <c r="B16" s="496"/>
      <c r="C16" s="34"/>
      <c r="D16" s="19"/>
      <c r="E16" s="11"/>
      <c r="F16" s="260">
        <f t="shared" si="0"/>
        <v>0</v>
      </c>
      <c r="G16" s="43"/>
      <c r="H16" s="18"/>
      <c r="I16" s="179">
        <f t="shared" si="1"/>
        <v>0</v>
      </c>
      <c r="J16" s="254"/>
      <c r="K16" s="254"/>
      <c r="L16" s="254"/>
      <c r="M16" s="254"/>
      <c r="N16" s="254"/>
      <c r="O16" s="6"/>
      <c r="P16" s="6"/>
      <c r="Q16" s="6"/>
      <c r="R16" s="6"/>
      <c r="S16" s="6"/>
      <c r="T16" s="6"/>
      <c r="U16" s="6"/>
      <c r="V16" s="6"/>
      <c r="W16" s="6"/>
      <c r="X16" s="6"/>
      <c r="Y16" s="6"/>
      <c r="Z16" s="6"/>
    </row>
    <row r="17" spans="1:26" ht="21.75" customHeight="1">
      <c r="A17" s="490"/>
      <c r="B17" s="496"/>
      <c r="C17" s="34"/>
      <c r="D17" s="19"/>
      <c r="E17" s="11"/>
      <c r="F17" s="260">
        <f t="shared" si="0"/>
        <v>0</v>
      </c>
      <c r="G17" s="43"/>
      <c r="H17" s="18"/>
      <c r="I17" s="179">
        <f t="shared" si="1"/>
        <v>0</v>
      </c>
      <c r="J17" s="254"/>
      <c r="K17" s="254"/>
      <c r="L17" s="254"/>
      <c r="M17" s="254"/>
      <c r="N17" s="254"/>
      <c r="O17" s="6"/>
      <c r="P17" s="6"/>
      <c r="Q17" s="6"/>
      <c r="R17" s="6"/>
      <c r="S17" s="6"/>
      <c r="T17" s="6"/>
      <c r="U17" s="6"/>
      <c r="V17" s="6"/>
      <c r="W17" s="6"/>
      <c r="X17" s="6"/>
      <c r="Y17" s="6"/>
      <c r="Z17" s="6"/>
    </row>
    <row r="18" spans="1:26" ht="21.75" customHeight="1">
      <c r="A18" s="490"/>
      <c r="B18" s="496"/>
      <c r="C18" s="34"/>
      <c r="D18" s="19"/>
      <c r="E18" s="11"/>
      <c r="F18" s="260">
        <f t="shared" si="0"/>
        <v>0</v>
      </c>
      <c r="G18" s="43"/>
      <c r="H18" s="18"/>
      <c r="I18" s="179">
        <f t="shared" si="1"/>
        <v>0</v>
      </c>
      <c r="J18" s="254"/>
      <c r="K18" s="254"/>
      <c r="L18" s="254"/>
      <c r="M18" s="254"/>
      <c r="N18" s="254"/>
      <c r="O18" s="6"/>
      <c r="P18" s="6"/>
      <c r="Q18" s="6"/>
      <c r="R18" s="6"/>
      <c r="S18" s="6"/>
      <c r="T18" s="6"/>
      <c r="U18" s="6"/>
      <c r="V18" s="6"/>
      <c r="W18" s="6"/>
      <c r="X18" s="6"/>
      <c r="Y18" s="6"/>
      <c r="Z18" s="6"/>
    </row>
    <row r="19" spans="1:26" ht="21.75" customHeight="1">
      <c r="A19" s="490"/>
      <c r="B19" s="496"/>
      <c r="C19" s="34"/>
      <c r="D19" s="19"/>
      <c r="E19" s="11"/>
      <c r="F19" s="260">
        <f t="shared" si="0"/>
        <v>0</v>
      </c>
      <c r="G19" s="43"/>
      <c r="H19" s="18"/>
      <c r="I19" s="179">
        <f t="shared" si="1"/>
        <v>0</v>
      </c>
      <c r="J19" s="254"/>
      <c r="K19" s="254"/>
      <c r="L19" s="254"/>
      <c r="M19" s="254"/>
      <c r="N19" s="254"/>
      <c r="O19" s="6"/>
      <c r="P19" s="6"/>
      <c r="Q19" s="6"/>
      <c r="R19" s="6"/>
      <c r="S19" s="6"/>
      <c r="T19" s="6"/>
      <c r="U19" s="6"/>
      <c r="V19" s="6"/>
      <c r="W19" s="6"/>
      <c r="X19" s="6"/>
      <c r="Y19" s="6"/>
      <c r="Z19" s="6"/>
    </row>
    <row r="20" spans="1:26" ht="21.75" customHeight="1">
      <c r="A20" s="490"/>
      <c r="B20" s="496"/>
      <c r="C20" s="34"/>
      <c r="D20" s="19"/>
      <c r="E20" s="11"/>
      <c r="F20" s="260">
        <f t="shared" si="0"/>
        <v>0</v>
      </c>
      <c r="G20" s="43"/>
      <c r="H20" s="18"/>
      <c r="I20" s="179">
        <f t="shared" si="1"/>
        <v>0</v>
      </c>
      <c r="J20" s="254"/>
      <c r="K20" s="254"/>
      <c r="L20" s="254"/>
      <c r="M20" s="254"/>
      <c r="N20" s="254"/>
      <c r="O20" s="6"/>
      <c r="P20" s="6"/>
      <c r="Q20" s="6"/>
      <c r="R20" s="6"/>
      <c r="S20" s="6"/>
      <c r="T20" s="6"/>
      <c r="U20" s="6"/>
      <c r="V20" s="6"/>
      <c r="W20" s="6"/>
      <c r="X20" s="6"/>
      <c r="Y20" s="6"/>
      <c r="Z20" s="6"/>
    </row>
    <row r="21" spans="1:26" ht="21.75" customHeight="1">
      <c r="A21" s="490"/>
      <c r="B21" s="496"/>
      <c r="C21" s="34"/>
      <c r="D21" s="19"/>
      <c r="E21" s="11"/>
      <c r="F21" s="260">
        <f t="shared" si="0"/>
        <v>0</v>
      </c>
      <c r="G21" s="43"/>
      <c r="H21" s="18"/>
      <c r="I21" s="179">
        <f t="shared" si="1"/>
        <v>0</v>
      </c>
      <c r="J21" s="254"/>
      <c r="K21" s="254"/>
      <c r="L21" s="254"/>
      <c r="M21" s="254"/>
      <c r="N21" s="254"/>
      <c r="O21" s="6"/>
      <c r="P21" s="6"/>
      <c r="Q21" s="6"/>
      <c r="R21" s="6"/>
      <c r="S21" s="6"/>
      <c r="T21" s="6"/>
      <c r="U21" s="6"/>
      <c r="V21" s="6"/>
      <c r="W21" s="6"/>
      <c r="X21" s="6"/>
      <c r="Y21" s="6"/>
      <c r="Z21" s="6"/>
    </row>
    <row r="22" spans="1:26" ht="21.75" customHeight="1">
      <c r="A22" s="490"/>
      <c r="B22" s="496"/>
      <c r="C22" s="34"/>
      <c r="D22" s="19"/>
      <c r="E22" s="11"/>
      <c r="F22" s="260">
        <f t="shared" si="0"/>
        <v>0</v>
      </c>
      <c r="G22" s="43"/>
      <c r="H22" s="18"/>
      <c r="I22" s="179">
        <f t="shared" si="1"/>
        <v>0</v>
      </c>
      <c r="J22" s="254"/>
      <c r="K22" s="254"/>
      <c r="L22" s="254"/>
      <c r="M22" s="254"/>
      <c r="N22" s="254"/>
      <c r="O22" s="6"/>
      <c r="P22" s="6"/>
      <c r="Q22" s="6"/>
      <c r="R22" s="6"/>
      <c r="S22" s="6"/>
      <c r="T22" s="6"/>
      <c r="U22" s="6"/>
      <c r="V22" s="6"/>
      <c r="W22" s="6"/>
      <c r="X22" s="6"/>
      <c r="Y22" s="6"/>
      <c r="Z22" s="6"/>
    </row>
    <row r="23" spans="1:26" ht="21.75" customHeight="1">
      <c r="A23" s="490"/>
      <c r="B23" s="496"/>
      <c r="C23" s="34"/>
      <c r="D23" s="19"/>
      <c r="E23" s="11"/>
      <c r="F23" s="260">
        <f t="shared" si="0"/>
        <v>0</v>
      </c>
      <c r="G23" s="43"/>
      <c r="H23" s="18"/>
      <c r="I23" s="179">
        <f t="shared" si="1"/>
        <v>0</v>
      </c>
      <c r="J23" s="254"/>
      <c r="K23" s="254"/>
      <c r="L23" s="254"/>
      <c r="M23" s="254"/>
      <c r="N23" s="254"/>
      <c r="O23" s="6"/>
      <c r="P23" s="6"/>
      <c r="Q23" s="6"/>
      <c r="R23" s="6"/>
      <c r="S23" s="6"/>
      <c r="T23" s="6"/>
      <c r="U23" s="6"/>
      <c r="V23" s="6"/>
      <c r="W23" s="6"/>
      <c r="X23" s="6"/>
      <c r="Y23" s="6"/>
      <c r="Z23" s="6"/>
    </row>
    <row r="24" spans="1:26" ht="21.75" customHeight="1">
      <c r="A24" s="487"/>
      <c r="B24" s="495"/>
      <c r="C24" s="34"/>
      <c r="D24" s="19"/>
      <c r="E24" s="11"/>
      <c r="F24" s="260">
        <f t="shared" si="0"/>
        <v>0</v>
      </c>
      <c r="G24" s="43"/>
      <c r="H24" s="18"/>
      <c r="I24" s="179">
        <f t="shared" si="1"/>
        <v>0</v>
      </c>
      <c r="J24" s="254"/>
      <c r="K24" s="254"/>
      <c r="L24" s="254"/>
      <c r="M24" s="254"/>
      <c r="N24" s="254"/>
      <c r="O24" s="6"/>
      <c r="P24" s="6"/>
      <c r="Q24" s="6"/>
      <c r="R24" s="6"/>
      <c r="S24" s="6"/>
      <c r="T24" s="6"/>
      <c r="U24" s="6"/>
      <c r="V24" s="6"/>
      <c r="W24" s="6"/>
      <c r="X24" s="6"/>
      <c r="Y24" s="6"/>
      <c r="Z24" s="6"/>
    </row>
    <row r="25" spans="1:26" ht="21.75" customHeight="1">
      <c r="A25" s="487"/>
      <c r="B25" s="495"/>
      <c r="C25" s="34"/>
      <c r="D25" s="19"/>
      <c r="E25" s="11"/>
      <c r="F25" s="260">
        <f t="shared" si="0"/>
        <v>0</v>
      </c>
      <c r="G25" s="43"/>
      <c r="H25" s="18"/>
      <c r="I25" s="179">
        <f t="shared" si="1"/>
        <v>0</v>
      </c>
      <c r="J25" s="254"/>
      <c r="K25" s="254"/>
      <c r="L25" s="254"/>
      <c r="M25" s="254"/>
      <c r="N25" s="254"/>
      <c r="O25" s="6"/>
      <c r="P25" s="6"/>
      <c r="Q25" s="6"/>
      <c r="R25" s="6"/>
      <c r="S25" s="6"/>
      <c r="T25" s="6"/>
      <c r="U25" s="6"/>
      <c r="V25" s="6"/>
      <c r="W25" s="6"/>
      <c r="X25" s="6"/>
      <c r="Y25" s="6"/>
      <c r="Z25" s="6"/>
    </row>
    <row r="26" spans="1:26" ht="21.75" customHeight="1">
      <c r="A26" s="487"/>
      <c r="B26" s="495"/>
      <c r="C26" s="34"/>
      <c r="D26" s="19"/>
      <c r="E26" s="11"/>
      <c r="F26" s="260">
        <f t="shared" si="0"/>
        <v>0</v>
      </c>
      <c r="G26" s="43"/>
      <c r="H26" s="18"/>
      <c r="I26" s="179">
        <f t="shared" si="1"/>
        <v>0</v>
      </c>
      <c r="J26" s="254"/>
      <c r="K26" s="254"/>
      <c r="L26" s="254"/>
      <c r="M26" s="254"/>
      <c r="N26" s="254"/>
      <c r="O26" s="6"/>
      <c r="P26" s="6"/>
      <c r="Q26" s="6"/>
      <c r="R26" s="6"/>
      <c r="S26" s="6"/>
      <c r="T26" s="6"/>
      <c r="U26" s="6"/>
      <c r="V26" s="6"/>
      <c r="W26" s="6"/>
      <c r="X26" s="6"/>
      <c r="Y26" s="6"/>
      <c r="Z26" s="6"/>
    </row>
    <row r="27" spans="1:26" ht="21.75" customHeight="1">
      <c r="A27" s="487"/>
      <c r="B27" s="495"/>
      <c r="C27" s="34"/>
      <c r="D27" s="19"/>
      <c r="E27" s="11"/>
      <c r="F27" s="260">
        <f t="shared" si="0"/>
        <v>0</v>
      </c>
      <c r="G27" s="43"/>
      <c r="H27" s="18"/>
      <c r="I27" s="179">
        <f t="shared" si="1"/>
        <v>0</v>
      </c>
      <c r="J27" s="254"/>
      <c r="K27" s="254"/>
      <c r="L27" s="254"/>
      <c r="M27" s="254"/>
      <c r="N27" s="254"/>
      <c r="O27" s="6"/>
      <c r="P27" s="6"/>
      <c r="Q27" s="6"/>
      <c r="R27" s="6"/>
      <c r="S27" s="6"/>
      <c r="T27" s="6"/>
      <c r="U27" s="6"/>
      <c r="V27" s="6"/>
      <c r="W27" s="6"/>
      <c r="X27" s="6"/>
      <c r="Y27" s="6"/>
      <c r="Z27" s="6"/>
    </row>
    <row r="28" spans="1:26" ht="21.75" customHeight="1">
      <c r="A28" s="487"/>
      <c r="B28" s="495"/>
      <c r="C28" s="34"/>
      <c r="D28" s="19"/>
      <c r="E28" s="11"/>
      <c r="F28" s="260">
        <f t="shared" si="0"/>
        <v>0</v>
      </c>
      <c r="G28" s="43"/>
      <c r="H28" s="18"/>
      <c r="I28" s="179">
        <f t="shared" si="1"/>
        <v>0</v>
      </c>
      <c r="J28" s="254"/>
      <c r="K28" s="254"/>
      <c r="L28" s="254"/>
      <c r="M28" s="254"/>
      <c r="N28" s="254"/>
      <c r="O28" s="6"/>
      <c r="P28" s="6"/>
      <c r="Q28" s="6"/>
      <c r="R28" s="6"/>
      <c r="S28" s="6"/>
      <c r="T28" s="6"/>
      <c r="U28" s="6"/>
      <c r="V28" s="6"/>
      <c r="W28" s="6"/>
      <c r="X28" s="6"/>
      <c r="Y28" s="6"/>
      <c r="Z28" s="6"/>
    </row>
    <row r="29" spans="1:26" ht="21.75" customHeight="1">
      <c r="A29" s="487"/>
      <c r="B29" s="495"/>
      <c r="C29" s="34"/>
      <c r="D29" s="19"/>
      <c r="E29" s="11"/>
      <c r="F29" s="260">
        <f t="shared" si="0"/>
        <v>0</v>
      </c>
      <c r="G29" s="43"/>
      <c r="H29" s="18"/>
      <c r="I29" s="179">
        <f t="shared" si="1"/>
        <v>0</v>
      </c>
      <c r="J29" s="254"/>
      <c r="K29" s="254"/>
      <c r="L29" s="254"/>
      <c r="M29" s="254"/>
      <c r="N29" s="254"/>
      <c r="O29" s="6"/>
      <c r="P29" s="6"/>
      <c r="Q29" s="6"/>
      <c r="R29" s="6"/>
      <c r="S29" s="6"/>
      <c r="T29" s="6"/>
      <c r="U29" s="6"/>
      <c r="V29" s="6"/>
      <c r="W29" s="6"/>
      <c r="X29" s="6"/>
      <c r="Y29" s="6"/>
      <c r="Z29" s="6"/>
    </row>
    <row r="30" spans="1:26" ht="21.75" customHeight="1">
      <c r="A30" s="487"/>
      <c r="B30" s="495"/>
      <c r="C30" s="34"/>
      <c r="D30" s="19"/>
      <c r="E30" s="11"/>
      <c r="F30" s="263">
        <f t="shared" si="0"/>
        <v>0</v>
      </c>
      <c r="G30" s="34"/>
      <c r="H30" s="22"/>
      <c r="I30" s="182">
        <f t="shared" si="1"/>
        <v>0</v>
      </c>
      <c r="J30" s="254"/>
      <c r="K30" s="254"/>
      <c r="L30" s="254"/>
      <c r="M30" s="254"/>
      <c r="N30" s="254"/>
      <c r="O30" s="6"/>
      <c r="P30" s="6"/>
      <c r="Q30" s="6"/>
      <c r="R30" s="6"/>
      <c r="S30" s="6"/>
      <c r="T30" s="6"/>
      <c r="U30" s="6"/>
      <c r="V30" s="6"/>
      <c r="W30" s="6"/>
      <c r="X30" s="6"/>
      <c r="Y30" s="6"/>
      <c r="Z30" s="6"/>
    </row>
    <row r="31" spans="1:26" ht="15.75" customHeight="1" thickBot="1">
      <c r="A31" s="23"/>
      <c r="B31" s="24"/>
      <c r="C31" s="467" t="s">
        <v>122</v>
      </c>
      <c r="D31" s="468"/>
      <c r="E31" s="468"/>
      <c r="F31" s="25">
        <f>SUM(F6:F30)</f>
        <v>0</v>
      </c>
      <c r="G31" s="467" t="s">
        <v>123</v>
      </c>
      <c r="H31" s="468"/>
      <c r="I31" s="25">
        <f>SUM(I6:I30)</f>
        <v>0</v>
      </c>
      <c r="J31" s="255"/>
      <c r="K31" s="255"/>
      <c r="L31" s="255"/>
      <c r="M31" s="255"/>
      <c r="N31" s="255"/>
      <c r="O31" s="7"/>
      <c r="P31" s="7"/>
      <c r="Q31" s="7"/>
      <c r="R31" s="7"/>
      <c r="S31" s="7"/>
      <c r="T31" s="7"/>
      <c r="U31" s="7"/>
      <c r="V31" s="7"/>
      <c r="W31" s="7"/>
      <c r="X31" s="7"/>
      <c r="Y31" s="7"/>
      <c r="Z31" s="7"/>
    </row>
    <row r="32" spans="1:26" ht="19.5" customHeight="1" thickBot="1">
      <c r="A32" s="469" t="s">
        <v>125</v>
      </c>
      <c r="B32" s="470"/>
      <c r="C32" s="470"/>
      <c r="D32" s="470"/>
      <c r="E32" s="470"/>
      <c r="F32" s="470"/>
      <c r="G32" s="470"/>
      <c r="H32" s="470"/>
      <c r="I32" s="26">
        <f>SUM(I31,F31)</f>
        <v>0</v>
      </c>
      <c r="J32" s="255"/>
      <c r="K32" s="255"/>
      <c r="L32" s="255"/>
      <c r="M32" s="255"/>
      <c r="N32" s="255"/>
      <c r="O32" s="7"/>
      <c r="P32" s="7"/>
      <c r="Q32" s="7"/>
      <c r="R32" s="7"/>
      <c r="S32" s="7"/>
      <c r="T32" s="7"/>
      <c r="U32" s="7"/>
      <c r="V32" s="7"/>
      <c r="W32" s="7"/>
      <c r="X32" s="7"/>
      <c r="Y32" s="7"/>
      <c r="Z32" s="7"/>
    </row>
    <row r="33" spans="1:26" ht="36" customHeight="1" thickBot="1">
      <c r="A33" s="477" t="s">
        <v>177</v>
      </c>
      <c r="B33" s="478"/>
      <c r="C33" s="478"/>
      <c r="D33" s="478"/>
      <c r="E33" s="478"/>
      <c r="F33" s="478"/>
      <c r="G33" s="478"/>
      <c r="H33" s="478"/>
      <c r="I33" s="479"/>
      <c r="J33" s="255"/>
      <c r="K33" s="255"/>
      <c r="L33" s="255"/>
      <c r="M33" s="255"/>
      <c r="N33" s="255"/>
      <c r="O33" s="7"/>
      <c r="P33" s="7"/>
      <c r="Q33" s="7"/>
      <c r="R33" s="7"/>
      <c r="S33" s="7"/>
      <c r="T33" s="7"/>
      <c r="U33" s="7"/>
      <c r="V33" s="7"/>
      <c r="W33" s="7"/>
      <c r="X33" s="7"/>
      <c r="Y33" s="7"/>
      <c r="Z33" s="7"/>
    </row>
    <row r="34" spans="1:26" ht="15.5">
      <c r="A34" s="452" t="s">
        <v>93</v>
      </c>
      <c r="B34" s="453"/>
      <c r="C34" s="390" t="s">
        <v>91</v>
      </c>
      <c r="D34" s="382"/>
      <c r="E34" s="382"/>
      <c r="F34" s="383"/>
      <c r="G34" s="381" t="s">
        <v>92</v>
      </c>
      <c r="H34" s="382"/>
      <c r="I34" s="383"/>
      <c r="J34" s="256"/>
      <c r="K34" s="256"/>
      <c r="L34" s="256"/>
      <c r="M34" s="256"/>
      <c r="N34" s="256"/>
      <c r="O34" s="8"/>
      <c r="P34" s="8"/>
      <c r="Q34" s="8"/>
      <c r="R34" s="8"/>
      <c r="S34" s="8"/>
      <c r="T34" s="8"/>
      <c r="U34" s="8"/>
      <c r="V34" s="8"/>
      <c r="W34" s="8"/>
      <c r="X34" s="8"/>
      <c r="Y34" s="8"/>
      <c r="Z34" s="8"/>
    </row>
    <row r="35" spans="1:26" ht="15.75" customHeight="1" thickBot="1">
      <c r="A35" s="454"/>
      <c r="B35" s="455"/>
      <c r="C35" s="37" t="s">
        <v>129</v>
      </c>
      <c r="D35" s="27" t="s">
        <v>95</v>
      </c>
      <c r="E35" s="28" t="s">
        <v>61</v>
      </c>
      <c r="F35" s="38" t="s">
        <v>79</v>
      </c>
      <c r="G35" s="44" t="s">
        <v>96</v>
      </c>
      <c r="H35" s="30" t="s">
        <v>85</v>
      </c>
      <c r="I35" s="31" t="s">
        <v>79</v>
      </c>
      <c r="J35" s="256"/>
      <c r="K35" s="256"/>
      <c r="L35" s="256"/>
      <c r="M35" s="256"/>
      <c r="N35" s="256"/>
      <c r="O35" s="8"/>
      <c r="P35" s="8"/>
      <c r="Q35" s="8"/>
      <c r="R35" s="8"/>
      <c r="S35" s="8"/>
      <c r="T35" s="8"/>
      <c r="U35" s="8"/>
      <c r="V35" s="8"/>
      <c r="W35" s="8"/>
      <c r="X35" s="8"/>
      <c r="Y35" s="8"/>
      <c r="Z35" s="8"/>
    </row>
    <row r="36" spans="1:26" ht="21.75" customHeight="1">
      <c r="A36" s="489"/>
      <c r="B36" s="488"/>
      <c r="C36" s="39">
        <v>1</v>
      </c>
      <c r="D36" s="20"/>
      <c r="E36" s="12">
        <v>0</v>
      </c>
      <c r="F36" s="40">
        <f t="shared" ref="F36:F48" si="2">C36*E36</f>
        <v>0</v>
      </c>
      <c r="G36" s="45">
        <v>1</v>
      </c>
      <c r="H36" s="12">
        <v>0</v>
      </c>
      <c r="I36" s="264">
        <f>G36*H36</f>
        <v>0</v>
      </c>
      <c r="J36" s="252"/>
      <c r="K36" s="252"/>
      <c r="L36" s="252"/>
      <c r="M36" s="252"/>
      <c r="N36" s="252"/>
    </row>
    <row r="37" spans="1:26" ht="21.75" customHeight="1">
      <c r="A37" s="489"/>
      <c r="B37" s="488"/>
      <c r="C37" s="39"/>
      <c r="D37" s="20"/>
      <c r="E37" s="12"/>
      <c r="F37" s="40">
        <f t="shared" si="2"/>
        <v>0</v>
      </c>
      <c r="G37" s="45"/>
      <c r="H37" s="12"/>
      <c r="I37" s="206">
        <f t="shared" ref="I37:I48" si="3">G37*H37</f>
        <v>0</v>
      </c>
      <c r="J37" s="252"/>
      <c r="K37" s="252"/>
      <c r="L37" s="252"/>
      <c r="M37" s="252"/>
      <c r="N37" s="252"/>
    </row>
    <row r="38" spans="1:26" ht="21.75" customHeight="1">
      <c r="A38" s="489"/>
      <c r="B38" s="488"/>
      <c r="C38" s="39"/>
      <c r="D38" s="20"/>
      <c r="E38" s="12"/>
      <c r="F38" s="40">
        <f t="shared" si="2"/>
        <v>0</v>
      </c>
      <c r="G38" s="45"/>
      <c r="H38" s="12"/>
      <c r="I38" s="206">
        <f t="shared" si="3"/>
        <v>0</v>
      </c>
      <c r="J38" s="252"/>
      <c r="K38" s="252"/>
      <c r="L38" s="252"/>
      <c r="M38" s="252"/>
      <c r="N38" s="252"/>
    </row>
    <row r="39" spans="1:26" ht="21.75" customHeight="1">
      <c r="A39" s="489"/>
      <c r="B39" s="488"/>
      <c r="C39" s="39"/>
      <c r="D39" s="20"/>
      <c r="E39" s="12"/>
      <c r="F39" s="40">
        <f t="shared" si="2"/>
        <v>0</v>
      </c>
      <c r="G39" s="45"/>
      <c r="H39" s="12"/>
      <c r="I39" s="206">
        <f t="shared" si="3"/>
        <v>0</v>
      </c>
      <c r="J39" s="252"/>
      <c r="K39" s="252"/>
      <c r="L39" s="252"/>
      <c r="M39" s="252"/>
      <c r="N39" s="252"/>
    </row>
    <row r="40" spans="1:26" ht="21.75" customHeight="1">
      <c r="A40" s="489"/>
      <c r="B40" s="488"/>
      <c r="C40" s="39"/>
      <c r="D40" s="20"/>
      <c r="E40" s="12"/>
      <c r="F40" s="40">
        <f t="shared" si="2"/>
        <v>0</v>
      </c>
      <c r="G40" s="45"/>
      <c r="H40" s="12"/>
      <c r="I40" s="206">
        <f t="shared" si="3"/>
        <v>0</v>
      </c>
      <c r="J40" s="252"/>
      <c r="K40" s="252"/>
      <c r="L40" s="252"/>
      <c r="M40" s="252"/>
      <c r="N40" s="252"/>
    </row>
    <row r="41" spans="1:26" ht="21.75" customHeight="1">
      <c r="A41" s="489"/>
      <c r="B41" s="488"/>
      <c r="C41" s="39"/>
      <c r="D41" s="20"/>
      <c r="E41" s="12"/>
      <c r="F41" s="40">
        <f t="shared" si="2"/>
        <v>0</v>
      </c>
      <c r="G41" s="45"/>
      <c r="H41" s="12"/>
      <c r="I41" s="206">
        <f t="shared" si="3"/>
        <v>0</v>
      </c>
      <c r="J41" s="252"/>
      <c r="K41" s="252"/>
      <c r="L41" s="252"/>
      <c r="M41" s="252"/>
      <c r="N41" s="252"/>
    </row>
    <row r="42" spans="1:26" ht="21.75" customHeight="1">
      <c r="A42" s="489"/>
      <c r="B42" s="488"/>
      <c r="C42" s="39"/>
      <c r="D42" s="20"/>
      <c r="E42" s="12"/>
      <c r="F42" s="40">
        <f t="shared" si="2"/>
        <v>0</v>
      </c>
      <c r="G42" s="45"/>
      <c r="H42" s="12"/>
      <c r="I42" s="206">
        <f t="shared" si="3"/>
        <v>0</v>
      </c>
      <c r="J42" s="252"/>
      <c r="K42" s="252"/>
      <c r="L42" s="252"/>
      <c r="M42" s="252"/>
      <c r="N42" s="252"/>
    </row>
    <row r="43" spans="1:26" ht="21.75" customHeight="1">
      <c r="A43" s="489"/>
      <c r="B43" s="488"/>
      <c r="C43" s="39"/>
      <c r="D43" s="20"/>
      <c r="E43" s="12"/>
      <c r="F43" s="40">
        <f t="shared" si="2"/>
        <v>0</v>
      </c>
      <c r="G43" s="45"/>
      <c r="H43" s="12"/>
      <c r="I43" s="206">
        <f t="shared" si="3"/>
        <v>0</v>
      </c>
      <c r="J43" s="252"/>
      <c r="K43" s="252"/>
      <c r="L43" s="252"/>
      <c r="M43" s="252"/>
      <c r="N43" s="252"/>
    </row>
    <row r="44" spans="1:26" ht="21.75" customHeight="1">
      <c r="A44" s="489"/>
      <c r="B44" s="488"/>
      <c r="C44" s="39"/>
      <c r="D44" s="20"/>
      <c r="E44" s="12"/>
      <c r="F44" s="40">
        <f t="shared" si="2"/>
        <v>0</v>
      </c>
      <c r="G44" s="45"/>
      <c r="H44" s="12"/>
      <c r="I44" s="206">
        <f t="shared" si="3"/>
        <v>0</v>
      </c>
      <c r="J44" s="252"/>
      <c r="K44" s="252"/>
      <c r="L44" s="252"/>
      <c r="M44" s="252"/>
      <c r="N44" s="252"/>
    </row>
    <row r="45" spans="1:26" ht="21.75" customHeight="1">
      <c r="A45" s="489"/>
      <c r="B45" s="488"/>
      <c r="C45" s="39"/>
      <c r="D45" s="20"/>
      <c r="E45" s="12"/>
      <c r="F45" s="40">
        <f t="shared" si="2"/>
        <v>0</v>
      </c>
      <c r="G45" s="45"/>
      <c r="H45" s="12"/>
      <c r="I45" s="206">
        <f t="shared" si="3"/>
        <v>0</v>
      </c>
      <c r="J45" s="252"/>
      <c r="K45" s="252"/>
      <c r="L45" s="252"/>
      <c r="M45" s="252"/>
      <c r="N45" s="252"/>
    </row>
    <row r="46" spans="1:26" ht="21.75" customHeight="1">
      <c r="A46" s="489"/>
      <c r="B46" s="488"/>
      <c r="C46" s="39"/>
      <c r="D46" s="20"/>
      <c r="E46" s="12"/>
      <c r="F46" s="40">
        <f t="shared" si="2"/>
        <v>0</v>
      </c>
      <c r="G46" s="45"/>
      <c r="H46" s="12"/>
      <c r="I46" s="206">
        <f t="shared" si="3"/>
        <v>0</v>
      </c>
      <c r="J46" s="252"/>
      <c r="K46" s="252"/>
      <c r="L46" s="252"/>
      <c r="M46" s="252"/>
      <c r="N46" s="252"/>
    </row>
    <row r="47" spans="1:26" ht="21.75" customHeight="1">
      <c r="A47" s="489"/>
      <c r="B47" s="488"/>
      <c r="C47" s="39"/>
      <c r="D47" s="20"/>
      <c r="E47" s="12"/>
      <c r="F47" s="40">
        <f t="shared" si="2"/>
        <v>0</v>
      </c>
      <c r="G47" s="45"/>
      <c r="H47" s="12"/>
      <c r="I47" s="206">
        <f t="shared" si="3"/>
        <v>0</v>
      </c>
      <c r="J47" s="252"/>
      <c r="K47" s="252"/>
      <c r="L47" s="252"/>
      <c r="M47" s="252"/>
      <c r="N47" s="252"/>
    </row>
    <row r="48" spans="1:26" ht="21.75" customHeight="1">
      <c r="A48" s="489"/>
      <c r="B48" s="488"/>
      <c r="C48" s="39"/>
      <c r="D48" s="20"/>
      <c r="E48" s="12"/>
      <c r="F48" s="40">
        <f t="shared" si="2"/>
        <v>0</v>
      </c>
      <c r="G48" s="45"/>
      <c r="H48" s="12"/>
      <c r="I48" s="206">
        <f t="shared" si="3"/>
        <v>0</v>
      </c>
      <c r="J48" s="252"/>
      <c r="K48" s="252"/>
      <c r="L48" s="252"/>
      <c r="M48" s="252"/>
      <c r="N48" s="252"/>
    </row>
    <row r="49" spans="1:14" ht="15.75" customHeight="1" thickBot="1">
      <c r="A49" s="46"/>
      <c r="B49" s="47"/>
      <c r="C49" s="473" t="s">
        <v>122</v>
      </c>
      <c r="D49" s="474"/>
      <c r="E49" s="475"/>
      <c r="F49" s="266">
        <f>SUM(F36:F48)</f>
        <v>0</v>
      </c>
      <c r="G49" s="473" t="s">
        <v>123</v>
      </c>
      <c r="H49" s="475"/>
      <c r="I49" s="266">
        <f>SUM(I36:I48)</f>
        <v>0</v>
      </c>
      <c r="J49" s="252"/>
      <c r="K49" s="252"/>
      <c r="L49" s="252"/>
      <c r="M49" s="252"/>
      <c r="N49" s="252"/>
    </row>
    <row r="50" spans="1:14" ht="20.149999999999999" customHeight="1" thickBot="1">
      <c r="A50" s="469" t="s">
        <v>124</v>
      </c>
      <c r="B50" s="470"/>
      <c r="C50" s="470"/>
      <c r="D50" s="470"/>
      <c r="E50" s="470"/>
      <c r="F50" s="470"/>
      <c r="G50" s="470"/>
      <c r="H50" s="470"/>
      <c r="I50" s="267">
        <f>SUM(I49,F49)</f>
        <v>0</v>
      </c>
      <c r="J50" s="252"/>
      <c r="K50" s="252"/>
      <c r="L50" s="252"/>
      <c r="M50" s="252"/>
      <c r="N50" s="252"/>
    </row>
    <row r="51" spans="1:14" ht="15.75" customHeight="1">
      <c r="A51" s="252"/>
      <c r="B51" s="252"/>
      <c r="C51" s="252"/>
      <c r="D51" s="252"/>
      <c r="E51" s="257"/>
      <c r="F51" s="252"/>
      <c r="G51" s="252"/>
      <c r="H51" s="252"/>
      <c r="I51" s="252"/>
      <c r="J51" s="252"/>
      <c r="K51" s="252"/>
      <c r="L51" s="252"/>
      <c r="M51" s="252"/>
      <c r="N51" s="252"/>
    </row>
    <row r="52" spans="1:14" ht="15.75" customHeight="1">
      <c r="A52" s="252"/>
      <c r="B52" s="252"/>
      <c r="C52" s="252"/>
      <c r="D52" s="252"/>
      <c r="E52" s="257"/>
      <c r="F52" s="252"/>
      <c r="G52" s="252"/>
      <c r="H52" s="252"/>
      <c r="I52" s="252"/>
      <c r="J52" s="252"/>
      <c r="K52" s="252"/>
      <c r="L52" s="252"/>
      <c r="M52" s="252"/>
      <c r="N52" s="252"/>
    </row>
    <row r="53" spans="1:14" ht="15.75" customHeight="1">
      <c r="A53" s="252"/>
      <c r="B53" s="252"/>
      <c r="C53" s="252"/>
      <c r="D53" s="252"/>
      <c r="E53" s="257"/>
      <c r="F53" s="252"/>
      <c r="G53" s="252"/>
      <c r="H53" s="252"/>
      <c r="I53" s="252"/>
      <c r="J53" s="252"/>
      <c r="K53" s="252"/>
      <c r="L53" s="252"/>
      <c r="M53" s="252"/>
      <c r="N53" s="252"/>
    </row>
    <row r="54" spans="1:14" ht="15.75" customHeight="1">
      <c r="A54" s="252"/>
      <c r="B54" s="252"/>
      <c r="C54" s="252"/>
      <c r="D54" s="252"/>
      <c r="E54" s="257"/>
      <c r="F54" s="252"/>
      <c r="G54" s="252"/>
      <c r="H54" s="252"/>
      <c r="I54" s="252"/>
      <c r="J54" s="252"/>
      <c r="K54" s="252"/>
      <c r="L54" s="252"/>
      <c r="M54" s="252"/>
      <c r="N54" s="252"/>
    </row>
    <row r="55" spans="1:14" ht="15.75" customHeight="1">
      <c r="A55" s="252"/>
      <c r="B55" s="252"/>
      <c r="C55" s="252"/>
      <c r="D55" s="252"/>
      <c r="E55" s="257"/>
      <c r="F55" s="252"/>
      <c r="G55" s="252"/>
      <c r="H55" s="252"/>
      <c r="I55" s="252"/>
      <c r="J55" s="252"/>
      <c r="K55" s="252"/>
      <c r="L55" s="252"/>
      <c r="M55" s="252"/>
      <c r="N55" s="252"/>
    </row>
    <row r="56" spans="1:14" ht="15.75" customHeight="1">
      <c r="A56" s="252"/>
      <c r="B56" s="252"/>
      <c r="C56" s="252"/>
      <c r="D56" s="252"/>
      <c r="E56" s="257"/>
      <c r="F56" s="252"/>
      <c r="G56" s="252"/>
      <c r="H56" s="252"/>
      <c r="I56" s="252"/>
      <c r="J56" s="252"/>
      <c r="K56" s="252"/>
      <c r="L56" s="252"/>
      <c r="M56" s="252"/>
      <c r="N56" s="252"/>
    </row>
    <row r="57" spans="1:14" ht="15.75" customHeight="1">
      <c r="A57" s="252"/>
      <c r="B57" s="252"/>
      <c r="C57" s="252"/>
      <c r="D57" s="252"/>
      <c r="E57" s="257"/>
      <c r="F57" s="252"/>
      <c r="G57" s="252"/>
      <c r="H57" s="252"/>
      <c r="I57" s="252"/>
      <c r="J57" s="252"/>
      <c r="K57" s="252"/>
      <c r="L57" s="252"/>
      <c r="M57" s="252"/>
      <c r="N57" s="252"/>
    </row>
    <row r="58" spans="1:14" ht="15.75" customHeight="1">
      <c r="A58" s="252"/>
      <c r="B58" s="252"/>
      <c r="C58" s="252"/>
      <c r="D58" s="252"/>
      <c r="E58" s="257"/>
      <c r="F58" s="252"/>
      <c r="G58" s="252"/>
      <c r="H58" s="252"/>
      <c r="I58" s="252"/>
      <c r="J58" s="252"/>
      <c r="K58" s="252"/>
      <c r="L58" s="252"/>
      <c r="M58" s="252"/>
      <c r="N58" s="252"/>
    </row>
    <row r="59" spans="1:14" ht="15.75" customHeight="1">
      <c r="A59" s="252"/>
      <c r="B59" s="252"/>
      <c r="C59" s="252"/>
      <c r="D59" s="252"/>
      <c r="E59" s="257"/>
      <c r="F59" s="252"/>
      <c r="G59" s="252"/>
      <c r="H59" s="252"/>
      <c r="I59" s="252"/>
      <c r="J59" s="252"/>
      <c r="K59" s="252"/>
      <c r="L59" s="252"/>
      <c r="M59" s="252"/>
      <c r="N59" s="252"/>
    </row>
    <row r="60" spans="1:14" ht="15.75" customHeight="1">
      <c r="A60" s="252"/>
      <c r="B60" s="252"/>
      <c r="C60" s="252"/>
      <c r="D60" s="252"/>
      <c r="E60" s="257"/>
      <c r="F60" s="252"/>
      <c r="G60" s="252"/>
      <c r="H60" s="252"/>
      <c r="I60" s="252"/>
      <c r="J60" s="252"/>
      <c r="K60" s="252"/>
      <c r="L60" s="252"/>
      <c r="M60" s="252"/>
      <c r="N60" s="252"/>
    </row>
    <row r="61" spans="1:14" ht="15.75" customHeight="1">
      <c r="A61" s="252"/>
      <c r="B61" s="252"/>
      <c r="C61" s="252"/>
      <c r="D61" s="252"/>
      <c r="E61" s="257"/>
      <c r="F61" s="252"/>
      <c r="G61" s="252"/>
      <c r="H61" s="252"/>
      <c r="I61" s="252"/>
      <c r="J61" s="252"/>
      <c r="K61" s="252"/>
      <c r="L61" s="252"/>
      <c r="M61" s="252"/>
      <c r="N61" s="252"/>
    </row>
    <row r="62" spans="1:14" ht="15.75" customHeight="1">
      <c r="E62" s="9"/>
    </row>
    <row r="63" spans="1:14" ht="15.75" customHeight="1">
      <c r="E63" s="9"/>
    </row>
    <row r="64" spans="1:14"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row r="1004" spans="5:5" ht="15.75" customHeight="1">
      <c r="E1004" s="9"/>
    </row>
    <row r="1005" spans="5:5" ht="15.75" customHeight="1">
      <c r="E1005" s="9"/>
    </row>
    <row r="1006" spans="5:5" ht="15.75" customHeight="1">
      <c r="E1006" s="9"/>
    </row>
    <row r="1007" spans="5:5" ht="15.75" customHeight="1">
      <c r="E1007" s="9"/>
    </row>
    <row r="1008" spans="5:5" ht="15.75" customHeight="1">
      <c r="E1008" s="9"/>
    </row>
    <row r="1009" spans="5:5" ht="15.75" customHeight="1">
      <c r="E1009" s="9"/>
    </row>
    <row r="1010" spans="5:5" ht="15.75" customHeight="1">
      <c r="E1010" s="9"/>
    </row>
    <row r="1011" spans="5:5" ht="15.75" customHeight="1">
      <c r="E1011" s="9"/>
    </row>
    <row r="1012" spans="5:5" ht="15.75" customHeight="1">
      <c r="E1012" s="9"/>
    </row>
    <row r="1013" spans="5:5" ht="15.75" customHeight="1">
      <c r="E1013" s="9"/>
    </row>
    <row r="1014" spans="5:5" ht="15.75" customHeight="1">
      <c r="E1014" s="9"/>
    </row>
    <row r="1015" spans="5:5" ht="15.75" customHeight="1">
      <c r="E1015" s="9"/>
    </row>
  </sheetData>
  <mergeCells count="53">
    <mergeCell ref="A6:B6"/>
    <mergeCell ref="A1:F2"/>
    <mergeCell ref="A3:I3"/>
    <mergeCell ref="A4:B5"/>
    <mergeCell ref="C4:F4"/>
    <mergeCell ref="G4:I4"/>
    <mergeCell ref="A18:B18"/>
    <mergeCell ref="A7:B7"/>
    <mergeCell ref="A8:B8"/>
    <mergeCell ref="A9:B9"/>
    <mergeCell ref="A10:B10"/>
    <mergeCell ref="A11:B11"/>
    <mergeCell ref="A12:B12"/>
    <mergeCell ref="A13:B13"/>
    <mergeCell ref="A14:B14"/>
    <mergeCell ref="A15:B15"/>
    <mergeCell ref="A16:B16"/>
    <mergeCell ref="A17:B17"/>
    <mergeCell ref="A30:B30"/>
    <mergeCell ref="A19:B19"/>
    <mergeCell ref="A20:B20"/>
    <mergeCell ref="A21:B21"/>
    <mergeCell ref="A22:B22"/>
    <mergeCell ref="A23:B23"/>
    <mergeCell ref="A24:B24"/>
    <mergeCell ref="A25:B25"/>
    <mergeCell ref="A26:B26"/>
    <mergeCell ref="A27:B27"/>
    <mergeCell ref="A28:B28"/>
    <mergeCell ref="A29:B29"/>
    <mergeCell ref="A41:B41"/>
    <mergeCell ref="C31:E31"/>
    <mergeCell ref="G31:H31"/>
    <mergeCell ref="A32:H32"/>
    <mergeCell ref="A33:I33"/>
    <mergeCell ref="A34:B35"/>
    <mergeCell ref="C34:F34"/>
    <mergeCell ref="G34:I34"/>
    <mergeCell ref="A36:B36"/>
    <mergeCell ref="A37:B37"/>
    <mergeCell ref="A38:B38"/>
    <mergeCell ref="A39:B39"/>
    <mergeCell ref="A40:B40"/>
    <mergeCell ref="G49:H49"/>
    <mergeCell ref="A50:H50"/>
    <mergeCell ref="C49:E49"/>
    <mergeCell ref="A48:B48"/>
    <mergeCell ref="A42:B42"/>
    <mergeCell ref="A43:B43"/>
    <mergeCell ref="A44:B44"/>
    <mergeCell ref="A45:B45"/>
    <mergeCell ref="A46:B46"/>
    <mergeCell ref="A47:B47"/>
  </mergeCells>
  <conditionalFormatting sqref="G2:H2">
    <cfRule type="expression" dxfId="13" priority="1" stopIfTrue="1">
      <formula>"MM/DD/YY"</formula>
    </cfRule>
  </conditionalFormatting>
  <printOptions horizontalCentered="1"/>
  <pageMargins left="0.75" right="0.75" top="1" bottom="1" header="0" footer="0"/>
  <pageSetup scale="74" fitToHeight="0" orientation="portrait" r:id="rId1"/>
  <rowBreaks count="1" manualBreakCount="1">
    <brk id="32" max="16383" man="1"/>
  </rowBreaks>
  <drawing r:id="rId2"/>
  <legacyDrawing r:id="rId3"/>
  <controls>
    <mc:AlternateContent xmlns:mc="http://schemas.openxmlformats.org/markup-compatibility/2006">
      <mc:Choice Requires="x14">
        <control shapeId="16385" r:id="rId4" name="CommandButton1">
          <controlPr defaultSize="0" autoLine="0" altText="Add A Row Command Button" r:id="rId5">
            <anchor moveWithCells="1">
              <from>
                <xdr:col>9</xdr:col>
                <xdr:colOff>298450</xdr:colOff>
                <xdr:row>28</xdr:row>
                <xdr:rowOff>266700</xdr:rowOff>
              </from>
              <to>
                <xdr:col>11</xdr:col>
                <xdr:colOff>425450</xdr:colOff>
                <xdr:row>30</xdr:row>
                <xdr:rowOff>6350</xdr:rowOff>
              </to>
            </anchor>
          </controlPr>
        </control>
      </mc:Choice>
      <mc:Fallback>
        <control shapeId="16385" r:id="rId4" name="CommandButton1"/>
      </mc:Fallback>
    </mc:AlternateContent>
  </control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C12C9-DBD7-4A35-AE1F-73FFACE0A785}">
  <sheetPr codeName="Sheet16">
    <pageSetUpPr fitToPage="1"/>
  </sheetPr>
  <dimension ref="A1:Z1003"/>
  <sheetViews>
    <sheetView topLeftCell="C6" zoomScaleNormal="10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178</v>
      </c>
      <c r="B1" s="387"/>
      <c r="C1" s="387"/>
      <c r="D1" s="387"/>
      <c r="E1" s="387"/>
      <c r="F1" s="387"/>
      <c r="G1" s="258" t="s">
        <v>165</v>
      </c>
      <c r="H1" s="259"/>
      <c r="I1" s="162" t="s">
        <v>166</v>
      </c>
      <c r="J1" s="252"/>
      <c r="K1" s="252"/>
      <c r="L1" s="252"/>
      <c r="M1" s="252"/>
      <c r="N1" s="252"/>
    </row>
    <row r="2" spans="1:26" ht="15" customHeight="1" thickBot="1">
      <c r="A2" s="388"/>
      <c r="B2" s="389"/>
      <c r="C2" s="389"/>
      <c r="D2" s="389"/>
      <c r="E2" s="389"/>
      <c r="F2" s="389"/>
      <c r="G2" s="163" t="str">
        <f>IF(INPUT!C3=0,"",INPUT!C3)</f>
        <v>RLP # 36C248-25-R-0110 – EXHIBIT K</v>
      </c>
      <c r="H2" s="163"/>
      <c r="I2" s="164" t="str">
        <f>IF(INPUT!C10=0,"",INPUT!C10)</f>
        <v/>
      </c>
      <c r="J2" s="252"/>
      <c r="K2" s="252"/>
      <c r="L2" s="252"/>
      <c r="M2" s="252"/>
      <c r="N2" s="252"/>
    </row>
    <row r="3" spans="1:26" s="10" customFormat="1" ht="36" customHeight="1" thickBot="1">
      <c r="A3" s="480" t="s">
        <v>182</v>
      </c>
      <c r="B3" s="402"/>
      <c r="C3" s="402"/>
      <c r="D3" s="402"/>
      <c r="E3" s="402"/>
      <c r="F3" s="402"/>
      <c r="G3" s="402"/>
      <c r="H3" s="402"/>
      <c r="I3" s="403"/>
      <c r="J3" s="253"/>
      <c r="K3" s="253"/>
      <c r="L3" s="253"/>
      <c r="M3" s="253"/>
      <c r="N3" s="253"/>
    </row>
    <row r="4" spans="1:26" ht="15.5">
      <c r="A4" s="498" t="s">
        <v>93</v>
      </c>
      <c r="B4" s="499"/>
      <c r="C4" s="390" t="s">
        <v>91</v>
      </c>
      <c r="D4" s="382"/>
      <c r="E4" s="382"/>
      <c r="F4" s="383"/>
      <c r="G4" s="509" t="s">
        <v>92</v>
      </c>
      <c r="H4" s="510"/>
      <c r="I4" s="511"/>
      <c r="J4" s="252"/>
      <c r="K4" s="252"/>
      <c r="L4" s="252"/>
      <c r="M4" s="252"/>
      <c r="N4" s="252"/>
    </row>
    <row r="5" spans="1:26" ht="15.75" customHeight="1" thickBot="1">
      <c r="A5" s="454"/>
      <c r="B5" s="500"/>
      <c r="C5" s="37" t="s">
        <v>129</v>
      </c>
      <c r="D5" s="27" t="s">
        <v>95</v>
      </c>
      <c r="E5" s="28" t="s">
        <v>61</v>
      </c>
      <c r="F5" s="38" t="s">
        <v>79</v>
      </c>
      <c r="G5" s="29" t="s">
        <v>96</v>
      </c>
      <c r="H5" s="30" t="s">
        <v>85</v>
      </c>
      <c r="I5" s="31" t="s">
        <v>79</v>
      </c>
      <c r="J5" s="252"/>
      <c r="K5" s="252"/>
      <c r="L5" s="252"/>
      <c r="M5" s="252"/>
      <c r="N5" s="252"/>
    </row>
    <row r="6" spans="1:26" ht="21.75" customHeight="1">
      <c r="A6" s="476" t="s">
        <v>149</v>
      </c>
      <c r="B6" s="497"/>
      <c r="C6" s="34">
        <v>1</v>
      </c>
      <c r="D6" s="19" t="s">
        <v>148</v>
      </c>
      <c r="E6" s="11">
        <v>0</v>
      </c>
      <c r="F6" s="260">
        <f t="shared" ref="F6:F18" si="0">C6*E6</f>
        <v>0</v>
      </c>
      <c r="G6" s="32">
        <v>1</v>
      </c>
      <c r="H6" s="17">
        <v>0</v>
      </c>
      <c r="I6" s="261">
        <f t="shared" ref="I6:I18" si="1">G6*H6</f>
        <v>0</v>
      </c>
      <c r="J6" s="254"/>
      <c r="K6" s="254"/>
      <c r="L6" s="254"/>
      <c r="M6" s="254"/>
      <c r="N6" s="254"/>
      <c r="O6" s="6"/>
      <c r="P6" s="6"/>
      <c r="Q6" s="6"/>
      <c r="R6" s="6"/>
      <c r="S6" s="6"/>
      <c r="T6" s="6"/>
      <c r="U6" s="6"/>
      <c r="V6" s="6"/>
      <c r="W6" s="6"/>
      <c r="X6" s="6"/>
      <c r="Y6" s="6"/>
      <c r="Z6" s="6"/>
    </row>
    <row r="7" spans="1:26" ht="21.75" customHeight="1">
      <c r="A7" s="476"/>
      <c r="B7" s="497"/>
      <c r="C7" s="34"/>
      <c r="D7" s="19"/>
      <c r="E7" s="11"/>
      <c r="F7" s="260">
        <f>C7*E7</f>
        <v>0</v>
      </c>
      <c r="G7" s="33"/>
      <c r="H7" s="18"/>
      <c r="I7" s="179">
        <f t="shared" si="1"/>
        <v>0</v>
      </c>
      <c r="J7" s="254"/>
      <c r="K7" s="254"/>
      <c r="L7" s="254"/>
      <c r="M7" s="254"/>
      <c r="N7" s="254"/>
      <c r="O7" s="6"/>
      <c r="P7" s="6"/>
      <c r="Q7" s="6"/>
      <c r="R7" s="6"/>
      <c r="S7" s="6"/>
      <c r="T7" s="6"/>
      <c r="U7" s="6"/>
      <c r="V7" s="6"/>
      <c r="W7" s="6"/>
      <c r="X7" s="6"/>
      <c r="Y7" s="6"/>
      <c r="Z7" s="6"/>
    </row>
    <row r="8" spans="1:26" ht="21.75" customHeight="1">
      <c r="A8" s="476"/>
      <c r="B8" s="497"/>
      <c r="C8" s="34"/>
      <c r="D8" s="19"/>
      <c r="E8" s="11"/>
      <c r="F8" s="262">
        <f t="shared" si="0"/>
        <v>0</v>
      </c>
      <c r="G8" s="33"/>
      <c r="H8" s="18"/>
      <c r="I8" s="179">
        <f t="shared" si="1"/>
        <v>0</v>
      </c>
      <c r="J8" s="254"/>
      <c r="K8" s="254"/>
      <c r="L8" s="254"/>
      <c r="M8" s="254"/>
      <c r="N8" s="254"/>
      <c r="O8" s="6"/>
      <c r="P8" s="6"/>
      <c r="Q8" s="6"/>
      <c r="R8" s="6"/>
      <c r="S8" s="6"/>
      <c r="T8" s="6"/>
      <c r="U8" s="6"/>
      <c r="V8" s="6"/>
      <c r="W8" s="6"/>
      <c r="X8" s="6"/>
      <c r="Y8" s="6"/>
      <c r="Z8" s="6"/>
    </row>
    <row r="9" spans="1:26" ht="21.75" customHeight="1">
      <c r="A9" s="476"/>
      <c r="B9" s="497"/>
      <c r="C9" s="34"/>
      <c r="D9" s="19"/>
      <c r="E9" s="11"/>
      <c r="F9" s="262">
        <f t="shared" si="0"/>
        <v>0</v>
      </c>
      <c r="G9" s="33"/>
      <c r="H9" s="18"/>
      <c r="I9" s="179">
        <f t="shared" si="1"/>
        <v>0</v>
      </c>
      <c r="J9" s="254"/>
      <c r="K9" s="254"/>
      <c r="L9" s="254"/>
      <c r="M9" s="254"/>
      <c r="N9" s="254"/>
      <c r="O9" s="6"/>
      <c r="P9" s="6"/>
      <c r="Q9" s="6"/>
      <c r="R9" s="6"/>
      <c r="S9" s="6"/>
      <c r="T9" s="6"/>
      <c r="U9" s="6"/>
      <c r="V9" s="6"/>
      <c r="W9" s="6"/>
      <c r="X9" s="6"/>
      <c r="Y9" s="6"/>
      <c r="Z9" s="6"/>
    </row>
    <row r="10" spans="1:26" ht="21.75" customHeight="1">
      <c r="A10" s="476"/>
      <c r="B10" s="497"/>
      <c r="C10" s="34"/>
      <c r="D10" s="19"/>
      <c r="E10" s="11"/>
      <c r="F10" s="260">
        <f t="shared" si="0"/>
        <v>0</v>
      </c>
      <c r="G10" s="33"/>
      <c r="H10" s="18"/>
      <c r="I10" s="179">
        <f t="shared" si="1"/>
        <v>0</v>
      </c>
      <c r="J10" s="254"/>
      <c r="K10" s="254"/>
      <c r="L10" s="254"/>
      <c r="M10" s="254"/>
      <c r="N10" s="254"/>
      <c r="O10" s="6"/>
      <c r="P10" s="6"/>
      <c r="Q10" s="6"/>
      <c r="R10" s="6"/>
      <c r="S10" s="6"/>
      <c r="T10" s="6"/>
      <c r="U10" s="6"/>
      <c r="V10" s="6"/>
      <c r="W10" s="6"/>
      <c r="X10" s="6"/>
      <c r="Y10" s="6"/>
      <c r="Z10" s="6"/>
    </row>
    <row r="11" spans="1:26" ht="21.75" customHeight="1">
      <c r="A11" s="476"/>
      <c r="B11" s="497"/>
      <c r="C11" s="34"/>
      <c r="D11" s="19"/>
      <c r="E11" s="11"/>
      <c r="F11" s="260">
        <f t="shared" si="0"/>
        <v>0</v>
      </c>
      <c r="G11" s="33"/>
      <c r="H11" s="18"/>
      <c r="I11" s="179">
        <f t="shared" si="1"/>
        <v>0</v>
      </c>
      <c r="J11" s="254"/>
      <c r="K11" s="254"/>
      <c r="L11" s="254"/>
      <c r="M11" s="254"/>
      <c r="N11" s="254"/>
      <c r="O11" s="6"/>
      <c r="P11" s="6"/>
      <c r="Q11" s="6"/>
      <c r="R11" s="6"/>
      <c r="S11" s="6"/>
      <c r="T11" s="6"/>
      <c r="U11" s="6"/>
      <c r="V11" s="6"/>
      <c r="W11" s="6"/>
      <c r="X11" s="6"/>
      <c r="Y11" s="6"/>
      <c r="Z11" s="6"/>
    </row>
    <row r="12" spans="1:26" ht="21.75" customHeight="1">
      <c r="A12" s="476"/>
      <c r="B12" s="497"/>
      <c r="C12" s="34"/>
      <c r="D12" s="19"/>
      <c r="E12" s="11"/>
      <c r="F12" s="260">
        <f t="shared" si="0"/>
        <v>0</v>
      </c>
      <c r="G12" s="33"/>
      <c r="H12" s="18"/>
      <c r="I12" s="179">
        <f t="shared" si="1"/>
        <v>0</v>
      </c>
      <c r="J12" s="254"/>
      <c r="K12" s="254"/>
      <c r="L12" s="254"/>
      <c r="M12" s="254"/>
      <c r="N12" s="254"/>
      <c r="O12" s="6"/>
      <c r="P12" s="6"/>
      <c r="Q12" s="6"/>
      <c r="R12" s="6"/>
      <c r="S12" s="6"/>
      <c r="T12" s="6"/>
      <c r="U12" s="6"/>
      <c r="V12" s="6"/>
      <c r="W12" s="6"/>
      <c r="X12" s="6"/>
      <c r="Y12" s="6"/>
      <c r="Z12" s="6"/>
    </row>
    <row r="13" spans="1:26" ht="21.75" customHeight="1">
      <c r="A13" s="476"/>
      <c r="B13" s="497"/>
      <c r="C13" s="34"/>
      <c r="D13" s="19"/>
      <c r="E13" s="11"/>
      <c r="F13" s="260">
        <f t="shared" si="0"/>
        <v>0</v>
      </c>
      <c r="G13" s="33"/>
      <c r="H13" s="18"/>
      <c r="I13" s="179">
        <f t="shared" si="1"/>
        <v>0</v>
      </c>
      <c r="J13" s="254"/>
      <c r="K13" s="254"/>
      <c r="L13" s="254"/>
      <c r="M13" s="254"/>
      <c r="N13" s="254"/>
      <c r="O13" s="6"/>
      <c r="P13" s="6"/>
      <c r="Q13" s="6"/>
      <c r="R13" s="6"/>
      <c r="S13" s="6"/>
      <c r="T13" s="6"/>
      <c r="U13" s="6"/>
      <c r="V13" s="6"/>
      <c r="W13" s="6"/>
      <c r="X13" s="6"/>
      <c r="Y13" s="6"/>
      <c r="Z13" s="6"/>
    </row>
    <row r="14" spans="1:26" ht="21.75" customHeight="1">
      <c r="A14" s="476"/>
      <c r="B14" s="497"/>
      <c r="C14" s="34"/>
      <c r="D14" s="19"/>
      <c r="E14" s="11"/>
      <c r="F14" s="260">
        <f t="shared" si="0"/>
        <v>0</v>
      </c>
      <c r="G14" s="33"/>
      <c r="H14" s="18"/>
      <c r="I14" s="179">
        <f t="shared" si="1"/>
        <v>0</v>
      </c>
      <c r="J14" s="254"/>
      <c r="K14" s="254"/>
      <c r="L14" s="254"/>
      <c r="M14" s="254"/>
      <c r="N14" s="254"/>
      <c r="O14" s="6"/>
      <c r="P14" s="6"/>
      <c r="Q14" s="6"/>
      <c r="R14" s="6"/>
      <c r="S14" s="6"/>
      <c r="T14" s="6"/>
      <c r="U14" s="6"/>
      <c r="V14" s="6"/>
      <c r="W14" s="6"/>
      <c r="X14" s="6"/>
      <c r="Y14" s="6"/>
      <c r="Z14" s="6"/>
    </row>
    <row r="15" spans="1:26" ht="21.75" customHeight="1">
      <c r="A15" s="476"/>
      <c r="B15" s="497"/>
      <c r="C15" s="34"/>
      <c r="D15" s="19"/>
      <c r="E15" s="11"/>
      <c r="F15" s="260">
        <f t="shared" si="0"/>
        <v>0</v>
      </c>
      <c r="G15" s="33"/>
      <c r="H15" s="18"/>
      <c r="I15" s="179">
        <f t="shared" si="1"/>
        <v>0</v>
      </c>
      <c r="J15" s="254"/>
      <c r="K15" s="254"/>
      <c r="L15" s="254"/>
      <c r="M15" s="254"/>
      <c r="N15" s="254"/>
      <c r="O15" s="6"/>
      <c r="P15" s="6"/>
      <c r="Q15" s="6"/>
      <c r="R15" s="6"/>
      <c r="S15" s="6"/>
      <c r="T15" s="6"/>
      <c r="U15" s="6"/>
      <c r="V15" s="6"/>
      <c r="W15" s="6"/>
      <c r="X15" s="6"/>
      <c r="Y15" s="6"/>
      <c r="Z15" s="6"/>
    </row>
    <row r="16" spans="1:26" ht="21.75" customHeight="1">
      <c r="A16" s="476"/>
      <c r="B16" s="497"/>
      <c r="C16" s="34"/>
      <c r="D16" s="19"/>
      <c r="E16" s="11"/>
      <c r="F16" s="260">
        <f t="shared" si="0"/>
        <v>0</v>
      </c>
      <c r="G16" s="33"/>
      <c r="H16" s="18"/>
      <c r="I16" s="179">
        <f t="shared" si="1"/>
        <v>0</v>
      </c>
      <c r="J16" s="254"/>
      <c r="K16" s="254"/>
      <c r="L16" s="254"/>
      <c r="M16" s="254"/>
      <c r="N16" s="254"/>
      <c r="O16" s="6"/>
      <c r="P16" s="6"/>
      <c r="Q16" s="6"/>
      <c r="R16" s="6"/>
      <c r="S16" s="6"/>
      <c r="T16" s="6"/>
      <c r="U16" s="6"/>
      <c r="V16" s="6"/>
      <c r="W16" s="6"/>
      <c r="X16" s="6"/>
      <c r="Y16" s="6"/>
      <c r="Z16" s="6"/>
    </row>
    <row r="17" spans="1:26" ht="21.75" customHeight="1">
      <c r="A17" s="476"/>
      <c r="B17" s="497"/>
      <c r="C17" s="34"/>
      <c r="D17" s="19"/>
      <c r="E17" s="11"/>
      <c r="F17" s="260">
        <f t="shared" si="0"/>
        <v>0</v>
      </c>
      <c r="G17" s="33"/>
      <c r="H17" s="18"/>
      <c r="I17" s="179">
        <f t="shared" si="1"/>
        <v>0</v>
      </c>
      <c r="J17" s="254"/>
      <c r="K17" s="254"/>
      <c r="L17" s="254"/>
      <c r="M17" s="254"/>
      <c r="N17" s="254"/>
      <c r="O17" s="6"/>
      <c r="P17" s="6"/>
      <c r="Q17" s="6"/>
      <c r="R17" s="6"/>
      <c r="S17" s="6"/>
      <c r="T17" s="6"/>
      <c r="U17" s="6"/>
      <c r="V17" s="6"/>
      <c r="W17" s="6"/>
      <c r="X17" s="6"/>
      <c r="Y17" s="6"/>
      <c r="Z17" s="6"/>
    </row>
    <row r="18" spans="1:26" ht="21.75" customHeight="1">
      <c r="A18" s="476"/>
      <c r="B18" s="497"/>
      <c r="C18" s="34"/>
      <c r="D18" s="19"/>
      <c r="E18" s="11"/>
      <c r="F18" s="263">
        <f t="shared" si="0"/>
        <v>0</v>
      </c>
      <c r="G18" s="32"/>
      <c r="H18" s="16"/>
      <c r="I18" s="182">
        <f t="shared" si="1"/>
        <v>0</v>
      </c>
      <c r="J18" s="254"/>
      <c r="K18" s="254"/>
      <c r="L18" s="254"/>
      <c r="M18" s="254"/>
      <c r="N18" s="254"/>
      <c r="O18" s="6"/>
      <c r="P18" s="6"/>
      <c r="Q18" s="6"/>
      <c r="R18" s="6"/>
      <c r="S18" s="6"/>
      <c r="T18" s="6"/>
      <c r="U18" s="6"/>
      <c r="V18" s="6"/>
      <c r="W18" s="6"/>
      <c r="X18" s="6"/>
      <c r="Y18" s="6"/>
      <c r="Z18" s="6"/>
    </row>
    <row r="19" spans="1:26" ht="15.75" customHeight="1" thickBot="1">
      <c r="A19" s="23"/>
      <c r="B19" s="24"/>
      <c r="C19" s="467" t="s">
        <v>122</v>
      </c>
      <c r="D19" s="468"/>
      <c r="E19" s="468"/>
      <c r="F19" s="25">
        <f>SUM(F6:F18)</f>
        <v>0</v>
      </c>
      <c r="G19" s="468" t="s">
        <v>123</v>
      </c>
      <c r="H19" s="468"/>
      <c r="I19" s="25">
        <f>SUM(I6:I18)</f>
        <v>0</v>
      </c>
      <c r="J19" s="255"/>
      <c r="K19" s="255"/>
      <c r="L19" s="255"/>
      <c r="M19" s="255"/>
      <c r="N19" s="255"/>
      <c r="O19" s="7"/>
      <c r="P19" s="7"/>
      <c r="Q19" s="7"/>
      <c r="R19" s="7"/>
      <c r="S19" s="7"/>
      <c r="T19" s="7"/>
      <c r="U19" s="7"/>
      <c r="V19" s="7"/>
      <c r="W19" s="7"/>
      <c r="X19" s="7"/>
      <c r="Y19" s="7"/>
      <c r="Z19" s="7"/>
    </row>
    <row r="20" spans="1:26" ht="20.149999999999999" customHeight="1" thickBot="1">
      <c r="A20" s="469" t="s">
        <v>125</v>
      </c>
      <c r="B20" s="470"/>
      <c r="C20" s="470"/>
      <c r="D20" s="470"/>
      <c r="E20" s="470"/>
      <c r="F20" s="470"/>
      <c r="G20" s="470"/>
      <c r="H20" s="470"/>
      <c r="I20" s="26">
        <f>SUM(I19,F19)</f>
        <v>0</v>
      </c>
      <c r="J20" s="255"/>
      <c r="K20" s="255"/>
      <c r="L20" s="255"/>
      <c r="M20" s="255"/>
      <c r="N20" s="255"/>
      <c r="O20" s="7"/>
      <c r="P20" s="7"/>
      <c r="Q20" s="7"/>
      <c r="R20" s="7"/>
      <c r="S20" s="7"/>
      <c r="T20" s="7"/>
      <c r="U20" s="7"/>
      <c r="V20" s="7"/>
      <c r="W20" s="7"/>
      <c r="X20" s="7"/>
      <c r="Y20" s="7"/>
      <c r="Z20" s="7"/>
    </row>
    <row r="21" spans="1:26" ht="36" customHeight="1" thickBot="1">
      <c r="A21" s="492" t="s">
        <v>183</v>
      </c>
      <c r="B21" s="493"/>
      <c r="C21" s="493"/>
      <c r="D21" s="493"/>
      <c r="E21" s="493"/>
      <c r="F21" s="493"/>
      <c r="G21" s="493"/>
      <c r="H21" s="493"/>
      <c r="I21" s="494"/>
      <c r="J21" s="255"/>
      <c r="K21" s="255"/>
      <c r="L21" s="255"/>
      <c r="M21" s="255"/>
      <c r="N21" s="255"/>
      <c r="O21" s="7"/>
      <c r="P21" s="7"/>
      <c r="Q21" s="7"/>
      <c r="R21" s="7"/>
      <c r="S21" s="7"/>
      <c r="T21" s="7"/>
      <c r="U21" s="7"/>
      <c r="V21" s="7"/>
      <c r="W21" s="7"/>
      <c r="X21" s="7"/>
      <c r="Y21" s="7"/>
      <c r="Z21" s="7"/>
    </row>
    <row r="22" spans="1:26" ht="15.5">
      <c r="A22" s="503" t="s">
        <v>93</v>
      </c>
      <c r="B22" s="504"/>
      <c r="C22" s="505" t="s">
        <v>91</v>
      </c>
      <c r="D22" s="506"/>
      <c r="E22" s="506"/>
      <c r="F22" s="507"/>
      <c r="G22" s="508" t="s">
        <v>92</v>
      </c>
      <c r="H22" s="506"/>
      <c r="I22" s="507"/>
      <c r="J22" s="256"/>
      <c r="K22" s="256"/>
      <c r="L22" s="256"/>
      <c r="M22" s="256"/>
      <c r="N22" s="256"/>
      <c r="O22" s="8"/>
      <c r="P22" s="8"/>
      <c r="Q22" s="8"/>
      <c r="R22" s="8"/>
      <c r="S22" s="8"/>
      <c r="T22" s="8"/>
      <c r="U22" s="8"/>
      <c r="V22" s="8"/>
      <c r="W22" s="8"/>
      <c r="X22" s="8"/>
      <c r="Y22" s="8"/>
      <c r="Z22" s="8"/>
    </row>
    <row r="23" spans="1:26" ht="15.75" customHeight="1" thickBot="1">
      <c r="A23" s="454"/>
      <c r="B23" s="500"/>
      <c r="C23" s="37" t="s">
        <v>129</v>
      </c>
      <c r="D23" s="27" t="s">
        <v>95</v>
      </c>
      <c r="E23" s="28" t="s">
        <v>61</v>
      </c>
      <c r="F23" s="38" t="s">
        <v>79</v>
      </c>
      <c r="G23" s="29" t="s">
        <v>96</v>
      </c>
      <c r="H23" s="30" t="s">
        <v>85</v>
      </c>
      <c r="I23" s="31" t="s">
        <v>79</v>
      </c>
      <c r="J23" s="256"/>
      <c r="K23" s="256"/>
      <c r="L23" s="256"/>
      <c r="M23" s="256"/>
      <c r="N23" s="256"/>
      <c r="O23" s="8"/>
      <c r="P23" s="8"/>
      <c r="Q23" s="8"/>
      <c r="R23" s="8"/>
      <c r="S23" s="8"/>
      <c r="T23" s="8"/>
      <c r="U23" s="8"/>
      <c r="V23" s="8"/>
      <c r="W23" s="8"/>
      <c r="X23" s="8"/>
      <c r="Y23" s="8"/>
      <c r="Z23" s="8"/>
    </row>
    <row r="24" spans="1:26" ht="21.75" customHeight="1">
      <c r="A24" s="471"/>
      <c r="B24" s="497"/>
      <c r="C24" s="39">
        <v>1</v>
      </c>
      <c r="D24" s="20"/>
      <c r="E24" s="12">
        <v>0</v>
      </c>
      <c r="F24" s="40">
        <f t="shared" ref="F24:F36" si="2">C24*E24</f>
        <v>0</v>
      </c>
      <c r="G24" s="35">
        <v>1</v>
      </c>
      <c r="H24" s="12">
        <v>0</v>
      </c>
      <c r="I24" s="264">
        <f>G24*H24</f>
        <v>0</v>
      </c>
      <c r="J24" s="252"/>
      <c r="K24" s="252"/>
      <c r="L24" s="252"/>
      <c r="M24" s="252"/>
      <c r="N24" s="252"/>
    </row>
    <row r="25" spans="1:26" ht="21.75" customHeight="1">
      <c r="A25" s="471"/>
      <c r="B25" s="497"/>
      <c r="C25" s="39"/>
      <c r="D25" s="20"/>
      <c r="E25" s="12"/>
      <c r="F25" s="40">
        <f t="shared" si="2"/>
        <v>0</v>
      </c>
      <c r="G25" s="35"/>
      <c r="H25" s="12"/>
      <c r="I25" s="206">
        <f t="shared" ref="I25:I36" si="3">G25*H25</f>
        <v>0</v>
      </c>
      <c r="J25" s="252"/>
      <c r="K25" s="252"/>
      <c r="L25" s="252"/>
      <c r="M25" s="252"/>
      <c r="N25" s="252"/>
    </row>
    <row r="26" spans="1:26" ht="21.75" customHeight="1">
      <c r="A26" s="471"/>
      <c r="B26" s="497"/>
      <c r="C26" s="39"/>
      <c r="D26" s="20"/>
      <c r="E26" s="12"/>
      <c r="F26" s="40">
        <f t="shared" si="2"/>
        <v>0</v>
      </c>
      <c r="G26" s="35"/>
      <c r="H26" s="12"/>
      <c r="I26" s="206">
        <f t="shared" si="3"/>
        <v>0</v>
      </c>
      <c r="J26" s="252"/>
      <c r="K26" s="252"/>
      <c r="L26" s="252"/>
      <c r="M26" s="252"/>
      <c r="N26" s="252"/>
    </row>
    <row r="27" spans="1:26" ht="21.75" customHeight="1">
      <c r="A27" s="471"/>
      <c r="B27" s="497"/>
      <c r="C27" s="39"/>
      <c r="D27" s="20"/>
      <c r="E27" s="12"/>
      <c r="F27" s="40">
        <f t="shared" si="2"/>
        <v>0</v>
      </c>
      <c r="G27" s="35"/>
      <c r="H27" s="12"/>
      <c r="I27" s="206">
        <f t="shared" si="3"/>
        <v>0</v>
      </c>
      <c r="J27" s="252"/>
      <c r="K27" s="252"/>
      <c r="L27" s="252"/>
      <c r="M27" s="252"/>
      <c r="N27" s="252"/>
    </row>
    <row r="28" spans="1:26" ht="21.75" customHeight="1">
      <c r="A28" s="471"/>
      <c r="B28" s="497"/>
      <c r="C28" s="39"/>
      <c r="D28" s="20"/>
      <c r="E28" s="12"/>
      <c r="F28" s="40">
        <f t="shared" si="2"/>
        <v>0</v>
      </c>
      <c r="G28" s="35"/>
      <c r="H28" s="12"/>
      <c r="I28" s="206">
        <f t="shared" si="3"/>
        <v>0</v>
      </c>
      <c r="J28" s="252"/>
      <c r="K28" s="252"/>
      <c r="L28" s="252"/>
      <c r="M28" s="252"/>
      <c r="N28" s="252"/>
    </row>
    <row r="29" spans="1:26" ht="21.75" customHeight="1">
      <c r="A29" s="471"/>
      <c r="B29" s="497"/>
      <c r="C29" s="39"/>
      <c r="D29" s="20"/>
      <c r="E29" s="12"/>
      <c r="F29" s="40">
        <f t="shared" si="2"/>
        <v>0</v>
      </c>
      <c r="G29" s="35"/>
      <c r="H29" s="12"/>
      <c r="I29" s="206">
        <f t="shared" si="3"/>
        <v>0</v>
      </c>
      <c r="J29" s="252"/>
      <c r="K29" s="252"/>
      <c r="L29" s="252"/>
      <c r="M29" s="252"/>
      <c r="N29" s="252"/>
    </row>
    <row r="30" spans="1:26" ht="21.75" customHeight="1">
      <c r="A30" s="471"/>
      <c r="B30" s="497"/>
      <c r="C30" s="39"/>
      <c r="D30" s="20"/>
      <c r="E30" s="12"/>
      <c r="F30" s="40">
        <f t="shared" si="2"/>
        <v>0</v>
      </c>
      <c r="G30" s="35"/>
      <c r="H30" s="12"/>
      <c r="I30" s="206">
        <f t="shared" si="3"/>
        <v>0</v>
      </c>
      <c r="J30" s="252"/>
      <c r="K30" s="252"/>
      <c r="L30" s="252"/>
      <c r="M30" s="252"/>
      <c r="N30" s="252"/>
    </row>
    <row r="31" spans="1:26" ht="21.75" customHeight="1">
      <c r="A31" s="471"/>
      <c r="B31" s="497"/>
      <c r="C31" s="39"/>
      <c r="D31" s="20"/>
      <c r="E31" s="12"/>
      <c r="F31" s="40">
        <f t="shared" si="2"/>
        <v>0</v>
      </c>
      <c r="G31" s="35"/>
      <c r="H31" s="12"/>
      <c r="I31" s="206">
        <f t="shared" si="3"/>
        <v>0</v>
      </c>
      <c r="J31" s="252"/>
      <c r="K31" s="252"/>
      <c r="L31" s="252"/>
      <c r="M31" s="252"/>
      <c r="N31" s="252"/>
    </row>
    <row r="32" spans="1:26" ht="21.75" customHeight="1">
      <c r="A32" s="471"/>
      <c r="B32" s="497"/>
      <c r="C32" s="39"/>
      <c r="D32" s="20"/>
      <c r="E32" s="12"/>
      <c r="F32" s="40">
        <f t="shared" si="2"/>
        <v>0</v>
      </c>
      <c r="G32" s="35"/>
      <c r="H32" s="12"/>
      <c r="I32" s="206">
        <f t="shared" si="3"/>
        <v>0</v>
      </c>
      <c r="J32" s="252"/>
      <c r="K32" s="252"/>
      <c r="L32" s="252"/>
      <c r="M32" s="252"/>
      <c r="N32" s="252"/>
    </row>
    <row r="33" spans="1:14" ht="21.75" customHeight="1">
      <c r="A33" s="471"/>
      <c r="B33" s="497"/>
      <c r="C33" s="39"/>
      <c r="D33" s="20"/>
      <c r="E33" s="12"/>
      <c r="F33" s="40">
        <f t="shared" si="2"/>
        <v>0</v>
      </c>
      <c r="G33" s="35"/>
      <c r="H33" s="12"/>
      <c r="I33" s="206">
        <f t="shared" si="3"/>
        <v>0</v>
      </c>
      <c r="J33" s="252"/>
      <c r="K33" s="252"/>
      <c r="L33" s="252"/>
      <c r="M33" s="252"/>
      <c r="N33" s="252"/>
    </row>
    <row r="34" spans="1:14" ht="21.75" customHeight="1">
      <c r="A34" s="471"/>
      <c r="B34" s="497"/>
      <c r="C34" s="39"/>
      <c r="D34" s="20"/>
      <c r="E34" s="12"/>
      <c r="F34" s="40">
        <f t="shared" si="2"/>
        <v>0</v>
      </c>
      <c r="G34" s="35"/>
      <c r="H34" s="12"/>
      <c r="I34" s="206">
        <f t="shared" si="3"/>
        <v>0</v>
      </c>
      <c r="J34" s="252"/>
      <c r="K34" s="252"/>
      <c r="L34" s="252"/>
      <c r="M34" s="252"/>
      <c r="N34" s="252"/>
    </row>
    <row r="35" spans="1:14" ht="21.75" customHeight="1">
      <c r="A35" s="471"/>
      <c r="B35" s="497"/>
      <c r="C35" s="39"/>
      <c r="D35" s="20"/>
      <c r="E35" s="12"/>
      <c r="F35" s="40">
        <f t="shared" si="2"/>
        <v>0</v>
      </c>
      <c r="G35" s="35"/>
      <c r="H35" s="12"/>
      <c r="I35" s="206">
        <f t="shared" si="3"/>
        <v>0</v>
      </c>
      <c r="J35" s="252"/>
      <c r="K35" s="252"/>
      <c r="L35" s="252"/>
      <c r="M35" s="252"/>
      <c r="N35" s="252"/>
    </row>
    <row r="36" spans="1:14" ht="21.75" customHeight="1">
      <c r="A36" s="471"/>
      <c r="B36" s="497"/>
      <c r="C36" s="41"/>
      <c r="D36" s="21"/>
      <c r="E36" s="13"/>
      <c r="F36" s="42">
        <f t="shared" si="2"/>
        <v>0</v>
      </c>
      <c r="G36" s="36"/>
      <c r="H36" s="13"/>
      <c r="I36" s="265">
        <f t="shared" si="3"/>
        <v>0</v>
      </c>
      <c r="J36" s="252"/>
      <c r="K36" s="252"/>
      <c r="L36" s="252"/>
      <c r="M36" s="252"/>
      <c r="N36" s="252"/>
    </row>
    <row r="37" spans="1:14" ht="15.75" customHeight="1" thickBot="1">
      <c r="A37" s="23"/>
      <c r="B37" s="24"/>
      <c r="C37" s="473" t="s">
        <v>122</v>
      </c>
      <c r="D37" s="474"/>
      <c r="E37" s="475"/>
      <c r="F37" s="266">
        <f>SUM(F24:F36)</f>
        <v>0</v>
      </c>
      <c r="G37" s="501" t="s">
        <v>123</v>
      </c>
      <c r="H37" s="502"/>
      <c r="I37" s="266">
        <f>SUM(I24:I36)</f>
        <v>0</v>
      </c>
      <c r="J37" s="252"/>
      <c r="K37" s="252"/>
      <c r="L37" s="252"/>
      <c r="M37" s="252"/>
      <c r="N37" s="252"/>
    </row>
    <row r="38" spans="1:14" ht="20.149999999999999" customHeight="1" thickBot="1">
      <c r="A38" s="469" t="s">
        <v>124</v>
      </c>
      <c r="B38" s="470"/>
      <c r="C38" s="470"/>
      <c r="D38" s="470"/>
      <c r="E38" s="470"/>
      <c r="F38" s="470"/>
      <c r="G38" s="470"/>
      <c r="H38" s="470"/>
      <c r="I38" s="267">
        <f>SUM(I37,F37)</f>
        <v>0</v>
      </c>
      <c r="J38" s="252"/>
      <c r="K38" s="252"/>
      <c r="L38" s="252"/>
      <c r="M38" s="252"/>
      <c r="N38" s="252"/>
    </row>
    <row r="39" spans="1:14" ht="15.75" customHeight="1">
      <c r="A39" s="252"/>
      <c r="B39" s="252"/>
      <c r="C39" s="252"/>
      <c r="D39" s="252"/>
      <c r="E39" s="257"/>
      <c r="F39" s="252"/>
      <c r="G39" s="252"/>
      <c r="H39" s="252"/>
      <c r="I39" s="252"/>
      <c r="J39" s="252"/>
      <c r="K39" s="252"/>
      <c r="L39" s="252"/>
      <c r="M39" s="252"/>
      <c r="N39" s="252"/>
    </row>
    <row r="40" spans="1:14" ht="15.75" customHeight="1">
      <c r="A40" s="252"/>
      <c r="B40" s="252"/>
      <c r="C40" s="252"/>
      <c r="D40" s="252"/>
      <c r="E40" s="257"/>
      <c r="F40" s="252"/>
      <c r="G40" s="252"/>
      <c r="H40" s="252"/>
      <c r="I40" s="252"/>
      <c r="J40" s="252"/>
      <c r="K40" s="252"/>
      <c r="L40" s="252"/>
      <c r="M40" s="252"/>
      <c r="N40" s="252"/>
    </row>
    <row r="41" spans="1:14" ht="15.75" customHeight="1">
      <c r="A41" s="252"/>
      <c r="B41" s="252"/>
      <c r="C41" s="252"/>
      <c r="D41" s="252"/>
      <c r="E41" s="257"/>
      <c r="F41" s="252"/>
      <c r="G41" s="252"/>
      <c r="H41" s="252"/>
      <c r="I41" s="252"/>
      <c r="J41" s="252"/>
      <c r="K41" s="252"/>
      <c r="L41" s="252"/>
      <c r="M41" s="252"/>
      <c r="N41" s="252"/>
    </row>
    <row r="42" spans="1:14" ht="15.75" customHeight="1">
      <c r="A42" s="252"/>
      <c r="B42" s="252"/>
      <c r="C42" s="252"/>
      <c r="D42" s="252"/>
      <c r="E42" s="257"/>
      <c r="F42" s="252"/>
      <c r="G42" s="252"/>
      <c r="H42" s="252"/>
      <c r="I42" s="252"/>
      <c r="J42" s="252"/>
      <c r="K42" s="252"/>
      <c r="L42" s="252"/>
      <c r="M42" s="252"/>
      <c r="N42" s="252"/>
    </row>
    <row r="43" spans="1:14" ht="15.75" customHeight="1">
      <c r="A43" s="252"/>
      <c r="B43" s="252"/>
      <c r="C43" s="252"/>
      <c r="D43" s="252"/>
      <c r="E43" s="257"/>
      <c r="F43" s="252"/>
      <c r="G43" s="252"/>
      <c r="H43" s="252"/>
      <c r="I43" s="252"/>
      <c r="J43" s="252"/>
      <c r="K43" s="252"/>
      <c r="L43" s="252"/>
      <c r="M43" s="252"/>
      <c r="N43" s="252"/>
    </row>
    <row r="44" spans="1:14" ht="15.75" customHeight="1">
      <c r="A44" s="252"/>
      <c r="B44" s="252"/>
      <c r="C44" s="252"/>
      <c r="D44" s="252"/>
      <c r="E44" s="257"/>
      <c r="F44" s="252"/>
      <c r="G44" s="252"/>
      <c r="H44" s="252"/>
      <c r="I44" s="252"/>
      <c r="J44" s="252"/>
      <c r="K44" s="252"/>
      <c r="L44" s="252"/>
      <c r="M44" s="252"/>
      <c r="N44" s="252"/>
    </row>
    <row r="45" spans="1:14" ht="15.75" customHeight="1">
      <c r="A45" s="252"/>
      <c r="B45" s="252"/>
      <c r="C45" s="252"/>
      <c r="D45" s="252"/>
      <c r="E45" s="257"/>
      <c r="F45" s="252"/>
      <c r="G45" s="252"/>
      <c r="H45" s="252"/>
      <c r="I45" s="252"/>
      <c r="J45" s="252"/>
      <c r="K45" s="252"/>
      <c r="L45" s="252"/>
      <c r="M45" s="252"/>
      <c r="N45" s="252"/>
    </row>
    <row r="46" spans="1:14" ht="15.75" customHeight="1">
      <c r="A46" s="252"/>
      <c r="B46" s="252"/>
      <c r="C46" s="252"/>
      <c r="D46" s="252"/>
      <c r="E46" s="257"/>
      <c r="F46" s="252"/>
      <c r="G46" s="252"/>
      <c r="H46" s="252"/>
      <c r="I46" s="252"/>
      <c r="J46" s="252"/>
      <c r="K46" s="252"/>
      <c r="L46" s="252"/>
      <c r="M46" s="252"/>
      <c r="N46" s="252"/>
    </row>
    <row r="47" spans="1:14" ht="15.75" customHeight="1">
      <c r="A47" s="252"/>
      <c r="B47" s="252"/>
      <c r="C47" s="252"/>
      <c r="D47" s="252"/>
      <c r="E47" s="257"/>
      <c r="F47" s="252"/>
      <c r="G47" s="252"/>
      <c r="H47" s="252"/>
      <c r="I47" s="252"/>
      <c r="J47" s="252"/>
      <c r="K47" s="252"/>
      <c r="L47" s="252"/>
      <c r="M47" s="252"/>
      <c r="N47" s="252"/>
    </row>
    <row r="48" spans="1:14" ht="15.75" customHeight="1">
      <c r="A48" s="252"/>
      <c r="B48" s="252"/>
      <c r="C48" s="252"/>
      <c r="D48" s="252"/>
      <c r="E48" s="257"/>
      <c r="F48" s="252"/>
      <c r="G48" s="252"/>
      <c r="H48" s="252"/>
      <c r="I48" s="252"/>
      <c r="J48" s="252"/>
      <c r="K48" s="252"/>
      <c r="L48" s="252"/>
      <c r="M48" s="252"/>
      <c r="N48" s="252"/>
    </row>
    <row r="49" spans="5:5" ht="15.75" customHeight="1">
      <c r="E49" s="9"/>
    </row>
    <row r="50" spans="5:5" ht="15.75" customHeight="1">
      <c r="E50" s="9"/>
    </row>
    <row r="51" spans="5:5" ht="15.75" customHeight="1">
      <c r="E51" s="9"/>
    </row>
    <row r="52" spans="5:5" ht="15.75" customHeight="1">
      <c r="E52" s="9"/>
    </row>
    <row r="53" spans="5:5" ht="15.75" customHeight="1">
      <c r="E53" s="9"/>
    </row>
    <row r="54" spans="5:5" ht="15.75" customHeight="1">
      <c r="E54" s="9"/>
    </row>
    <row r="55" spans="5:5" ht="15.75" customHeight="1">
      <c r="E55" s="9"/>
    </row>
    <row r="56" spans="5:5" ht="15.75" customHeight="1">
      <c r="E56" s="9"/>
    </row>
    <row r="57" spans="5:5" ht="15.75" customHeight="1">
      <c r="E57" s="9"/>
    </row>
    <row r="58" spans="5:5" ht="15.75" customHeight="1">
      <c r="E58" s="9"/>
    </row>
    <row r="59" spans="5:5" ht="15.75" customHeight="1">
      <c r="E59" s="9"/>
    </row>
    <row r="60" spans="5:5" ht="15.75" customHeight="1">
      <c r="E60" s="9"/>
    </row>
    <row r="61" spans="5:5" ht="15.75" customHeight="1">
      <c r="E61" s="9"/>
    </row>
    <row r="62" spans="5:5" ht="15.75" customHeight="1">
      <c r="E62" s="9"/>
    </row>
    <row r="63" spans="5:5" ht="15.75" customHeight="1">
      <c r="E63" s="9"/>
    </row>
    <row r="64" spans="5: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6:B6"/>
    <mergeCell ref="A1:F2"/>
    <mergeCell ref="A3:I3"/>
    <mergeCell ref="A4:B5"/>
    <mergeCell ref="C4:F4"/>
    <mergeCell ref="G4:I4"/>
    <mergeCell ref="A18:B18"/>
    <mergeCell ref="A7:B7"/>
    <mergeCell ref="A8:B8"/>
    <mergeCell ref="A9:B9"/>
    <mergeCell ref="A10:B10"/>
    <mergeCell ref="A11:B11"/>
    <mergeCell ref="A12:B12"/>
    <mergeCell ref="A13:B13"/>
    <mergeCell ref="A14:B14"/>
    <mergeCell ref="A15:B15"/>
    <mergeCell ref="A16:B16"/>
    <mergeCell ref="A17:B17"/>
    <mergeCell ref="A29:B29"/>
    <mergeCell ref="C19:E19"/>
    <mergeCell ref="G19:H19"/>
    <mergeCell ref="A20:H20"/>
    <mergeCell ref="A21:I21"/>
    <mergeCell ref="A22:B23"/>
    <mergeCell ref="C22:F22"/>
    <mergeCell ref="G22:I22"/>
    <mergeCell ref="A24:B24"/>
    <mergeCell ref="A25:B25"/>
    <mergeCell ref="A26:B26"/>
    <mergeCell ref="A27:B27"/>
    <mergeCell ref="A28:B28"/>
    <mergeCell ref="A36:B36"/>
    <mergeCell ref="C37:E37"/>
    <mergeCell ref="G37:H37"/>
    <mergeCell ref="A38:H38"/>
    <mergeCell ref="A30:B30"/>
    <mergeCell ref="A31:B31"/>
    <mergeCell ref="A32:B32"/>
    <mergeCell ref="A33:B33"/>
    <mergeCell ref="A34:B34"/>
    <mergeCell ref="A35:B35"/>
  </mergeCells>
  <conditionalFormatting sqref="G2:H2">
    <cfRule type="expression" dxfId="12" priority="1" stopIfTrue="1">
      <formula>"MM/DD/YY"</formula>
    </cfRule>
  </conditionalFormatting>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17409" r:id="rId4" name="CommandButton1">
          <controlPr defaultSize="0" autoLine="0" altText="Add A Row Command Button" r:id="rId5">
            <anchor moveWithCells="1">
              <from>
                <xdr:col>9</xdr:col>
                <xdr:colOff>279400</xdr:colOff>
                <xdr:row>17</xdr:row>
                <xdr:rowOff>0</xdr:rowOff>
              </from>
              <to>
                <xdr:col>11</xdr:col>
                <xdr:colOff>406400</xdr:colOff>
                <xdr:row>18</xdr:row>
                <xdr:rowOff>12700</xdr:rowOff>
              </to>
            </anchor>
          </controlPr>
        </control>
      </mc:Choice>
      <mc:Fallback>
        <control shapeId="17409" r:id="rId4" name="CommandButton1"/>
      </mc:Fallback>
    </mc:AlternateContent>
  </control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FE37E-009C-453E-A900-D94C1CB5113D}">
  <sheetPr codeName="Sheet17">
    <pageSetUpPr fitToPage="1"/>
  </sheetPr>
  <dimension ref="A1:Z1003"/>
  <sheetViews>
    <sheetView topLeftCell="C6" zoomScaleNormal="10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179</v>
      </c>
      <c r="B1" s="387"/>
      <c r="C1" s="387"/>
      <c r="D1" s="387"/>
      <c r="E1" s="387"/>
      <c r="F1" s="387"/>
      <c r="G1" s="258" t="s">
        <v>165</v>
      </c>
      <c r="H1" s="259"/>
      <c r="I1" s="162" t="s">
        <v>166</v>
      </c>
      <c r="J1" s="252"/>
      <c r="K1" s="252"/>
      <c r="L1" s="252"/>
      <c r="M1" s="252"/>
      <c r="N1" s="252"/>
    </row>
    <row r="2" spans="1:26" ht="15" customHeight="1" thickBot="1">
      <c r="A2" s="388"/>
      <c r="B2" s="389"/>
      <c r="C2" s="389"/>
      <c r="D2" s="389"/>
      <c r="E2" s="389"/>
      <c r="F2" s="389"/>
      <c r="G2" s="163" t="str">
        <f>IF(INPUT!C3=0,"",INPUT!C3)</f>
        <v>RLP # 36C248-25-R-0110 – EXHIBIT K</v>
      </c>
      <c r="H2" s="163"/>
      <c r="I2" s="164" t="str">
        <f>IF(INPUT!C10=0,"",INPUT!C10)</f>
        <v/>
      </c>
      <c r="J2" s="252"/>
      <c r="K2" s="252"/>
      <c r="L2" s="252"/>
      <c r="M2" s="252"/>
      <c r="N2" s="252"/>
    </row>
    <row r="3" spans="1:26" s="10" customFormat="1" ht="36" customHeight="1" thickBot="1">
      <c r="A3" s="480" t="s">
        <v>180</v>
      </c>
      <c r="B3" s="402"/>
      <c r="C3" s="402"/>
      <c r="D3" s="402"/>
      <c r="E3" s="402"/>
      <c r="F3" s="402"/>
      <c r="G3" s="402"/>
      <c r="H3" s="402"/>
      <c r="I3" s="403"/>
      <c r="J3" s="253"/>
      <c r="K3" s="253"/>
      <c r="L3" s="253"/>
      <c r="M3" s="253"/>
      <c r="N3" s="253"/>
    </row>
    <row r="4" spans="1:26" ht="15.5">
      <c r="A4" s="498" t="s">
        <v>93</v>
      </c>
      <c r="B4" s="499"/>
      <c r="C4" s="390" t="s">
        <v>91</v>
      </c>
      <c r="D4" s="382"/>
      <c r="E4" s="382"/>
      <c r="F4" s="383"/>
      <c r="G4" s="509" t="s">
        <v>92</v>
      </c>
      <c r="H4" s="510"/>
      <c r="I4" s="511"/>
      <c r="J4" s="252"/>
      <c r="K4" s="252"/>
      <c r="L4" s="252"/>
      <c r="M4" s="252"/>
      <c r="N4" s="252"/>
    </row>
    <row r="5" spans="1:26" ht="15.75" customHeight="1" thickBot="1">
      <c r="A5" s="454"/>
      <c r="B5" s="500"/>
      <c r="C5" s="37" t="s">
        <v>129</v>
      </c>
      <c r="D5" s="27" t="s">
        <v>95</v>
      </c>
      <c r="E5" s="28" t="s">
        <v>61</v>
      </c>
      <c r="F5" s="38" t="s">
        <v>79</v>
      </c>
      <c r="G5" s="29" t="s">
        <v>96</v>
      </c>
      <c r="H5" s="30" t="s">
        <v>85</v>
      </c>
      <c r="I5" s="31" t="s">
        <v>79</v>
      </c>
      <c r="J5" s="252"/>
      <c r="K5" s="252"/>
      <c r="L5" s="252"/>
      <c r="M5" s="252"/>
      <c r="N5" s="252"/>
    </row>
    <row r="6" spans="1:26" ht="21.75" customHeight="1">
      <c r="A6" s="476" t="s">
        <v>149</v>
      </c>
      <c r="B6" s="497"/>
      <c r="C6" s="34">
        <v>1</v>
      </c>
      <c r="D6" s="19" t="s">
        <v>148</v>
      </c>
      <c r="E6" s="11">
        <v>0</v>
      </c>
      <c r="F6" s="260">
        <f t="shared" ref="F6:F18" si="0">C6*E6</f>
        <v>0</v>
      </c>
      <c r="G6" s="32">
        <v>1</v>
      </c>
      <c r="H6" s="17">
        <v>0</v>
      </c>
      <c r="I6" s="261">
        <f t="shared" ref="I6:I18" si="1">G6*H6</f>
        <v>0</v>
      </c>
      <c r="J6" s="254"/>
      <c r="K6" s="254"/>
      <c r="L6" s="254"/>
      <c r="M6" s="254"/>
      <c r="N6" s="254"/>
      <c r="O6" s="6"/>
      <c r="P6" s="6"/>
      <c r="Q6" s="6"/>
      <c r="R6" s="6"/>
      <c r="S6" s="6"/>
      <c r="T6" s="6"/>
      <c r="U6" s="6"/>
      <c r="V6" s="6"/>
      <c r="W6" s="6"/>
      <c r="X6" s="6"/>
      <c r="Y6" s="6"/>
      <c r="Z6" s="6"/>
    </row>
    <row r="7" spans="1:26" ht="21.75" customHeight="1">
      <c r="A7" s="476"/>
      <c r="B7" s="497"/>
      <c r="C7" s="34"/>
      <c r="D7" s="19"/>
      <c r="E7" s="11"/>
      <c r="F7" s="260">
        <f>C7*E7</f>
        <v>0</v>
      </c>
      <c r="G7" s="33"/>
      <c r="H7" s="18"/>
      <c r="I7" s="179">
        <f t="shared" si="1"/>
        <v>0</v>
      </c>
      <c r="J7" s="254"/>
      <c r="K7" s="254"/>
      <c r="L7" s="254"/>
      <c r="M7" s="254"/>
      <c r="N7" s="254"/>
      <c r="O7" s="6"/>
      <c r="P7" s="6"/>
      <c r="Q7" s="6"/>
      <c r="R7" s="6"/>
      <c r="S7" s="6"/>
      <c r="T7" s="6"/>
      <c r="U7" s="6"/>
      <c r="V7" s="6"/>
      <c r="W7" s="6"/>
      <c r="X7" s="6"/>
      <c r="Y7" s="6"/>
      <c r="Z7" s="6"/>
    </row>
    <row r="8" spans="1:26" ht="21.75" customHeight="1">
      <c r="A8" s="476"/>
      <c r="B8" s="497"/>
      <c r="C8" s="34"/>
      <c r="D8" s="19"/>
      <c r="E8" s="11"/>
      <c r="F8" s="262">
        <f t="shared" si="0"/>
        <v>0</v>
      </c>
      <c r="G8" s="33"/>
      <c r="H8" s="18"/>
      <c r="I8" s="179">
        <f t="shared" si="1"/>
        <v>0</v>
      </c>
      <c r="J8" s="254"/>
      <c r="K8" s="254"/>
      <c r="L8" s="254"/>
      <c r="M8" s="254"/>
      <c r="N8" s="254"/>
      <c r="O8" s="6"/>
      <c r="P8" s="6"/>
      <c r="Q8" s="6"/>
      <c r="R8" s="6"/>
      <c r="S8" s="6"/>
      <c r="T8" s="6"/>
      <c r="U8" s="6"/>
      <c r="V8" s="6"/>
      <c r="W8" s="6"/>
      <c r="X8" s="6"/>
      <c r="Y8" s="6"/>
      <c r="Z8" s="6"/>
    </row>
    <row r="9" spans="1:26" ht="21.75" customHeight="1">
      <c r="A9" s="476"/>
      <c r="B9" s="497"/>
      <c r="C9" s="34"/>
      <c r="D9" s="19"/>
      <c r="E9" s="11"/>
      <c r="F9" s="262">
        <f t="shared" si="0"/>
        <v>0</v>
      </c>
      <c r="G9" s="33"/>
      <c r="H9" s="18"/>
      <c r="I9" s="179">
        <f t="shared" si="1"/>
        <v>0</v>
      </c>
      <c r="J9" s="254"/>
      <c r="K9" s="254"/>
      <c r="L9" s="254"/>
      <c r="M9" s="254"/>
      <c r="N9" s="254"/>
      <c r="O9" s="6"/>
      <c r="P9" s="6"/>
      <c r="Q9" s="6"/>
      <c r="R9" s="6"/>
      <c r="S9" s="6"/>
      <c r="T9" s="6"/>
      <c r="U9" s="6"/>
      <c r="V9" s="6"/>
      <c r="W9" s="6"/>
      <c r="X9" s="6"/>
      <c r="Y9" s="6"/>
      <c r="Z9" s="6"/>
    </row>
    <row r="10" spans="1:26" ht="21.75" customHeight="1">
      <c r="A10" s="476"/>
      <c r="B10" s="497"/>
      <c r="C10" s="34"/>
      <c r="D10" s="19"/>
      <c r="E10" s="11"/>
      <c r="F10" s="260">
        <f t="shared" si="0"/>
        <v>0</v>
      </c>
      <c r="G10" s="33"/>
      <c r="H10" s="18"/>
      <c r="I10" s="179">
        <f t="shared" si="1"/>
        <v>0</v>
      </c>
      <c r="J10" s="254"/>
      <c r="K10" s="254"/>
      <c r="L10" s="254"/>
      <c r="M10" s="254"/>
      <c r="N10" s="254"/>
      <c r="O10" s="6"/>
      <c r="P10" s="6"/>
      <c r="Q10" s="6"/>
      <c r="R10" s="6"/>
      <c r="S10" s="6"/>
      <c r="T10" s="6"/>
      <c r="U10" s="6"/>
      <c r="V10" s="6"/>
      <c r="W10" s="6"/>
      <c r="X10" s="6"/>
      <c r="Y10" s="6"/>
      <c r="Z10" s="6"/>
    </row>
    <row r="11" spans="1:26" ht="21.75" customHeight="1">
      <c r="A11" s="476"/>
      <c r="B11" s="497"/>
      <c r="C11" s="34"/>
      <c r="D11" s="19"/>
      <c r="E11" s="11"/>
      <c r="F11" s="260">
        <f t="shared" si="0"/>
        <v>0</v>
      </c>
      <c r="G11" s="33"/>
      <c r="H11" s="18"/>
      <c r="I11" s="179">
        <f t="shared" si="1"/>
        <v>0</v>
      </c>
      <c r="J11" s="254"/>
      <c r="K11" s="254"/>
      <c r="L11" s="254"/>
      <c r="M11" s="254"/>
      <c r="N11" s="254"/>
      <c r="O11" s="6"/>
      <c r="P11" s="6"/>
      <c r="Q11" s="6"/>
      <c r="R11" s="6"/>
      <c r="S11" s="6"/>
      <c r="T11" s="6"/>
      <c r="U11" s="6"/>
      <c r="V11" s="6"/>
      <c r="W11" s="6"/>
      <c r="X11" s="6"/>
      <c r="Y11" s="6"/>
      <c r="Z11" s="6"/>
    </row>
    <row r="12" spans="1:26" ht="21.75" customHeight="1">
      <c r="A12" s="476"/>
      <c r="B12" s="497"/>
      <c r="C12" s="34"/>
      <c r="D12" s="19"/>
      <c r="E12" s="11"/>
      <c r="F12" s="260">
        <f t="shared" si="0"/>
        <v>0</v>
      </c>
      <c r="G12" s="33"/>
      <c r="H12" s="18"/>
      <c r="I12" s="179">
        <f t="shared" si="1"/>
        <v>0</v>
      </c>
      <c r="J12" s="254"/>
      <c r="K12" s="254"/>
      <c r="L12" s="254"/>
      <c r="M12" s="254"/>
      <c r="N12" s="254"/>
      <c r="O12" s="6"/>
      <c r="P12" s="6"/>
      <c r="Q12" s="6"/>
      <c r="R12" s="6"/>
      <c r="S12" s="6"/>
      <c r="T12" s="6"/>
      <c r="U12" s="6"/>
      <c r="V12" s="6"/>
      <c r="W12" s="6"/>
      <c r="X12" s="6"/>
      <c r="Y12" s="6"/>
      <c r="Z12" s="6"/>
    </row>
    <row r="13" spans="1:26" ht="21.75" customHeight="1">
      <c r="A13" s="476"/>
      <c r="B13" s="497"/>
      <c r="C13" s="34"/>
      <c r="D13" s="19"/>
      <c r="E13" s="11"/>
      <c r="F13" s="260">
        <f t="shared" si="0"/>
        <v>0</v>
      </c>
      <c r="G13" s="33"/>
      <c r="H13" s="18"/>
      <c r="I13" s="179">
        <f t="shared" si="1"/>
        <v>0</v>
      </c>
      <c r="J13" s="254"/>
      <c r="K13" s="254"/>
      <c r="L13" s="254"/>
      <c r="M13" s="254"/>
      <c r="N13" s="254"/>
      <c r="O13" s="6"/>
      <c r="P13" s="6"/>
      <c r="Q13" s="6"/>
      <c r="R13" s="6"/>
      <c r="S13" s="6"/>
      <c r="T13" s="6"/>
      <c r="U13" s="6"/>
      <c r="V13" s="6"/>
      <c r="W13" s="6"/>
      <c r="X13" s="6"/>
      <c r="Y13" s="6"/>
      <c r="Z13" s="6"/>
    </row>
    <row r="14" spans="1:26" ht="21.75" customHeight="1">
      <c r="A14" s="476"/>
      <c r="B14" s="497"/>
      <c r="C14" s="34"/>
      <c r="D14" s="19"/>
      <c r="E14" s="11"/>
      <c r="F14" s="260">
        <f t="shared" si="0"/>
        <v>0</v>
      </c>
      <c r="G14" s="33"/>
      <c r="H14" s="18"/>
      <c r="I14" s="179">
        <f t="shared" si="1"/>
        <v>0</v>
      </c>
      <c r="J14" s="254"/>
      <c r="K14" s="254"/>
      <c r="L14" s="254"/>
      <c r="M14" s="254"/>
      <c r="N14" s="254"/>
      <c r="O14" s="6"/>
      <c r="P14" s="6"/>
      <c r="Q14" s="6"/>
      <c r="R14" s="6"/>
      <c r="S14" s="6"/>
      <c r="T14" s="6"/>
      <c r="U14" s="6"/>
      <c r="V14" s="6"/>
      <c r="W14" s="6"/>
      <c r="X14" s="6"/>
      <c r="Y14" s="6"/>
      <c r="Z14" s="6"/>
    </row>
    <row r="15" spans="1:26" ht="21.75" customHeight="1">
      <c r="A15" s="476"/>
      <c r="B15" s="497"/>
      <c r="C15" s="34"/>
      <c r="D15" s="19"/>
      <c r="E15" s="11"/>
      <c r="F15" s="260">
        <f t="shared" si="0"/>
        <v>0</v>
      </c>
      <c r="G15" s="33"/>
      <c r="H15" s="18"/>
      <c r="I15" s="179">
        <f t="shared" si="1"/>
        <v>0</v>
      </c>
      <c r="J15" s="254"/>
      <c r="K15" s="254"/>
      <c r="L15" s="254"/>
      <c r="M15" s="254"/>
      <c r="N15" s="254"/>
      <c r="O15" s="6"/>
      <c r="P15" s="6"/>
      <c r="Q15" s="6"/>
      <c r="R15" s="6"/>
      <c r="S15" s="6"/>
      <c r="T15" s="6"/>
      <c r="U15" s="6"/>
      <c r="V15" s="6"/>
      <c r="W15" s="6"/>
      <c r="X15" s="6"/>
      <c r="Y15" s="6"/>
      <c r="Z15" s="6"/>
    </row>
    <row r="16" spans="1:26" ht="21.75" customHeight="1">
      <c r="A16" s="476"/>
      <c r="B16" s="497"/>
      <c r="C16" s="34"/>
      <c r="D16" s="19"/>
      <c r="E16" s="11"/>
      <c r="F16" s="260">
        <f t="shared" si="0"/>
        <v>0</v>
      </c>
      <c r="G16" s="33"/>
      <c r="H16" s="18"/>
      <c r="I16" s="179">
        <f t="shared" si="1"/>
        <v>0</v>
      </c>
      <c r="J16" s="254"/>
      <c r="K16" s="254"/>
      <c r="L16" s="254"/>
      <c r="M16" s="254"/>
      <c r="N16" s="254"/>
      <c r="O16" s="6"/>
      <c r="P16" s="6"/>
      <c r="Q16" s="6"/>
      <c r="R16" s="6"/>
      <c r="S16" s="6"/>
      <c r="T16" s="6"/>
      <c r="U16" s="6"/>
      <c r="V16" s="6"/>
      <c r="W16" s="6"/>
      <c r="X16" s="6"/>
      <c r="Y16" s="6"/>
      <c r="Z16" s="6"/>
    </row>
    <row r="17" spans="1:26" ht="21.75" customHeight="1">
      <c r="A17" s="476"/>
      <c r="B17" s="497"/>
      <c r="C17" s="34"/>
      <c r="D17" s="19"/>
      <c r="E17" s="11"/>
      <c r="F17" s="260">
        <f t="shared" si="0"/>
        <v>0</v>
      </c>
      <c r="G17" s="33"/>
      <c r="H17" s="18"/>
      <c r="I17" s="179">
        <f t="shared" si="1"/>
        <v>0</v>
      </c>
      <c r="J17" s="254"/>
      <c r="K17" s="254"/>
      <c r="L17" s="254"/>
      <c r="M17" s="254"/>
      <c r="N17" s="254"/>
      <c r="O17" s="6"/>
      <c r="P17" s="6"/>
      <c r="Q17" s="6"/>
      <c r="R17" s="6"/>
      <c r="S17" s="6"/>
      <c r="T17" s="6"/>
      <c r="U17" s="6"/>
      <c r="V17" s="6"/>
      <c r="W17" s="6"/>
      <c r="X17" s="6"/>
      <c r="Y17" s="6"/>
      <c r="Z17" s="6"/>
    </row>
    <row r="18" spans="1:26" ht="21.75" customHeight="1">
      <c r="A18" s="476"/>
      <c r="B18" s="497"/>
      <c r="C18" s="34"/>
      <c r="D18" s="19"/>
      <c r="E18" s="11"/>
      <c r="F18" s="263">
        <f t="shared" si="0"/>
        <v>0</v>
      </c>
      <c r="G18" s="32"/>
      <c r="H18" s="16"/>
      <c r="I18" s="182">
        <f t="shared" si="1"/>
        <v>0</v>
      </c>
      <c r="J18" s="254"/>
      <c r="K18" s="254"/>
      <c r="L18" s="254"/>
      <c r="M18" s="254"/>
      <c r="N18" s="254"/>
      <c r="O18" s="6"/>
      <c r="P18" s="6"/>
      <c r="Q18" s="6"/>
      <c r="R18" s="6"/>
      <c r="S18" s="6"/>
      <c r="T18" s="6"/>
      <c r="U18" s="6"/>
      <c r="V18" s="6"/>
      <c r="W18" s="6"/>
      <c r="X18" s="6"/>
      <c r="Y18" s="6"/>
      <c r="Z18" s="6"/>
    </row>
    <row r="19" spans="1:26" ht="15.75" customHeight="1" thickBot="1">
      <c r="A19" s="23"/>
      <c r="B19" s="24"/>
      <c r="C19" s="467" t="s">
        <v>122</v>
      </c>
      <c r="D19" s="468"/>
      <c r="E19" s="468"/>
      <c r="F19" s="25">
        <f>SUM(F6:F18)</f>
        <v>0</v>
      </c>
      <c r="G19" s="468" t="s">
        <v>123</v>
      </c>
      <c r="H19" s="468"/>
      <c r="I19" s="25">
        <f>SUM(I6:I18)</f>
        <v>0</v>
      </c>
      <c r="J19" s="255"/>
      <c r="K19" s="255"/>
      <c r="L19" s="255"/>
      <c r="M19" s="255"/>
      <c r="N19" s="255"/>
      <c r="O19" s="7"/>
      <c r="P19" s="7"/>
      <c r="Q19" s="7"/>
      <c r="R19" s="7"/>
      <c r="S19" s="7"/>
      <c r="T19" s="7"/>
      <c r="U19" s="7"/>
      <c r="V19" s="7"/>
      <c r="W19" s="7"/>
      <c r="X19" s="7"/>
      <c r="Y19" s="7"/>
      <c r="Z19" s="7"/>
    </row>
    <row r="20" spans="1:26" ht="20.149999999999999" customHeight="1" thickBot="1">
      <c r="A20" s="469" t="s">
        <v>125</v>
      </c>
      <c r="B20" s="470"/>
      <c r="C20" s="470"/>
      <c r="D20" s="470"/>
      <c r="E20" s="470"/>
      <c r="F20" s="470"/>
      <c r="G20" s="470"/>
      <c r="H20" s="470"/>
      <c r="I20" s="26">
        <f>SUM(I19,F19)</f>
        <v>0</v>
      </c>
      <c r="J20" s="255"/>
      <c r="K20" s="255"/>
      <c r="L20" s="255"/>
      <c r="M20" s="255"/>
      <c r="N20" s="255"/>
      <c r="O20" s="7"/>
      <c r="P20" s="7"/>
      <c r="Q20" s="7"/>
      <c r="R20" s="7"/>
      <c r="S20" s="7"/>
      <c r="T20" s="7"/>
      <c r="U20" s="7"/>
      <c r="V20" s="7"/>
      <c r="W20" s="7"/>
      <c r="X20" s="7"/>
      <c r="Y20" s="7"/>
      <c r="Z20" s="7"/>
    </row>
    <row r="21" spans="1:26" ht="36" customHeight="1" thickBot="1">
      <c r="A21" s="492" t="s">
        <v>181</v>
      </c>
      <c r="B21" s="493"/>
      <c r="C21" s="493"/>
      <c r="D21" s="493"/>
      <c r="E21" s="493"/>
      <c r="F21" s="493"/>
      <c r="G21" s="493"/>
      <c r="H21" s="493"/>
      <c r="I21" s="494"/>
      <c r="J21" s="255"/>
      <c r="K21" s="255"/>
      <c r="L21" s="255"/>
      <c r="M21" s="255"/>
      <c r="N21" s="255"/>
      <c r="O21" s="7"/>
      <c r="P21" s="7"/>
      <c r="Q21" s="7"/>
      <c r="R21" s="7"/>
      <c r="S21" s="7"/>
      <c r="T21" s="7"/>
      <c r="U21" s="7"/>
      <c r="V21" s="7"/>
      <c r="W21" s="7"/>
      <c r="X21" s="7"/>
      <c r="Y21" s="7"/>
      <c r="Z21" s="7"/>
    </row>
    <row r="22" spans="1:26" ht="15.5">
      <c r="A22" s="503" t="s">
        <v>93</v>
      </c>
      <c r="B22" s="504"/>
      <c r="C22" s="505" t="s">
        <v>91</v>
      </c>
      <c r="D22" s="506"/>
      <c r="E22" s="506"/>
      <c r="F22" s="507"/>
      <c r="G22" s="508" t="s">
        <v>92</v>
      </c>
      <c r="H22" s="506"/>
      <c r="I22" s="507"/>
      <c r="J22" s="256"/>
      <c r="K22" s="256"/>
      <c r="L22" s="256"/>
      <c r="M22" s="256"/>
      <c r="N22" s="256"/>
      <c r="O22" s="8"/>
      <c r="P22" s="8"/>
      <c r="Q22" s="8"/>
      <c r="R22" s="8"/>
      <c r="S22" s="8"/>
      <c r="T22" s="8"/>
      <c r="U22" s="8"/>
      <c r="V22" s="8"/>
      <c r="W22" s="8"/>
      <c r="X22" s="8"/>
      <c r="Y22" s="8"/>
      <c r="Z22" s="8"/>
    </row>
    <row r="23" spans="1:26" ht="15.75" customHeight="1" thickBot="1">
      <c r="A23" s="454"/>
      <c r="B23" s="500"/>
      <c r="C23" s="37" t="s">
        <v>129</v>
      </c>
      <c r="D23" s="27" t="s">
        <v>95</v>
      </c>
      <c r="E23" s="28" t="s">
        <v>61</v>
      </c>
      <c r="F23" s="38" t="s">
        <v>79</v>
      </c>
      <c r="G23" s="29" t="s">
        <v>96</v>
      </c>
      <c r="H23" s="30" t="s">
        <v>85</v>
      </c>
      <c r="I23" s="31" t="s">
        <v>79</v>
      </c>
      <c r="J23" s="256"/>
      <c r="K23" s="256"/>
      <c r="L23" s="256"/>
      <c r="M23" s="256"/>
      <c r="N23" s="256"/>
      <c r="O23" s="8"/>
      <c r="P23" s="8"/>
      <c r="Q23" s="8"/>
      <c r="R23" s="8"/>
      <c r="S23" s="8"/>
      <c r="T23" s="8"/>
      <c r="U23" s="8"/>
      <c r="V23" s="8"/>
      <c r="W23" s="8"/>
      <c r="X23" s="8"/>
      <c r="Y23" s="8"/>
      <c r="Z23" s="8"/>
    </row>
    <row r="24" spans="1:26" ht="21.75" customHeight="1">
      <c r="A24" s="471"/>
      <c r="B24" s="497"/>
      <c r="C24" s="39">
        <v>1</v>
      </c>
      <c r="D24" s="20"/>
      <c r="E24" s="12">
        <v>0</v>
      </c>
      <c r="F24" s="40">
        <f t="shared" ref="F24:F36" si="2">C24*E24</f>
        <v>0</v>
      </c>
      <c r="G24" s="35">
        <v>1</v>
      </c>
      <c r="H24" s="12">
        <v>0</v>
      </c>
      <c r="I24" s="264">
        <f>G24*H24</f>
        <v>0</v>
      </c>
      <c r="J24" s="252"/>
      <c r="K24" s="252"/>
      <c r="L24" s="252"/>
      <c r="M24" s="252"/>
      <c r="N24" s="252"/>
    </row>
    <row r="25" spans="1:26" ht="21.75" customHeight="1">
      <c r="A25" s="471"/>
      <c r="B25" s="497"/>
      <c r="C25" s="39"/>
      <c r="D25" s="20"/>
      <c r="E25" s="12"/>
      <c r="F25" s="40">
        <f t="shared" si="2"/>
        <v>0</v>
      </c>
      <c r="G25" s="35"/>
      <c r="H25" s="12"/>
      <c r="I25" s="206">
        <f t="shared" ref="I25:I36" si="3">G25*H25</f>
        <v>0</v>
      </c>
      <c r="J25" s="252"/>
      <c r="K25" s="252"/>
      <c r="L25" s="252"/>
      <c r="M25" s="252"/>
      <c r="N25" s="252"/>
    </row>
    <row r="26" spans="1:26" ht="21.75" customHeight="1">
      <c r="A26" s="471"/>
      <c r="B26" s="497"/>
      <c r="C26" s="39"/>
      <c r="D26" s="20"/>
      <c r="E26" s="12"/>
      <c r="F26" s="40">
        <f t="shared" si="2"/>
        <v>0</v>
      </c>
      <c r="G26" s="35"/>
      <c r="H26" s="12"/>
      <c r="I26" s="206">
        <f t="shared" si="3"/>
        <v>0</v>
      </c>
      <c r="J26" s="252"/>
      <c r="K26" s="252"/>
      <c r="L26" s="252"/>
      <c r="M26" s="252"/>
      <c r="N26" s="252"/>
    </row>
    <row r="27" spans="1:26" ht="21.75" customHeight="1">
      <c r="A27" s="471"/>
      <c r="B27" s="497"/>
      <c r="C27" s="39"/>
      <c r="D27" s="20"/>
      <c r="E27" s="12"/>
      <c r="F27" s="40">
        <f t="shared" si="2"/>
        <v>0</v>
      </c>
      <c r="G27" s="35"/>
      <c r="H27" s="12"/>
      <c r="I27" s="206">
        <f t="shared" si="3"/>
        <v>0</v>
      </c>
      <c r="J27" s="252"/>
      <c r="K27" s="252"/>
      <c r="L27" s="252"/>
      <c r="M27" s="252"/>
      <c r="N27" s="252"/>
    </row>
    <row r="28" spans="1:26" ht="21.75" customHeight="1">
      <c r="A28" s="471"/>
      <c r="B28" s="497"/>
      <c r="C28" s="39"/>
      <c r="D28" s="20"/>
      <c r="E28" s="12"/>
      <c r="F28" s="40">
        <f t="shared" si="2"/>
        <v>0</v>
      </c>
      <c r="G28" s="35"/>
      <c r="H28" s="12"/>
      <c r="I28" s="206">
        <f t="shared" si="3"/>
        <v>0</v>
      </c>
      <c r="J28" s="252"/>
      <c r="K28" s="252"/>
      <c r="L28" s="252"/>
      <c r="M28" s="252"/>
      <c r="N28" s="252"/>
    </row>
    <row r="29" spans="1:26" ht="21.75" customHeight="1">
      <c r="A29" s="471"/>
      <c r="B29" s="497"/>
      <c r="C29" s="39"/>
      <c r="D29" s="20"/>
      <c r="E29" s="12"/>
      <c r="F29" s="40">
        <f t="shared" si="2"/>
        <v>0</v>
      </c>
      <c r="G29" s="35"/>
      <c r="H29" s="12"/>
      <c r="I29" s="206">
        <f t="shared" si="3"/>
        <v>0</v>
      </c>
      <c r="J29" s="252"/>
      <c r="K29" s="252"/>
      <c r="L29" s="252"/>
      <c r="M29" s="252"/>
      <c r="N29" s="252"/>
    </row>
    <row r="30" spans="1:26" ht="21.75" customHeight="1">
      <c r="A30" s="471"/>
      <c r="B30" s="497"/>
      <c r="C30" s="39"/>
      <c r="D30" s="20"/>
      <c r="E30" s="12"/>
      <c r="F30" s="40">
        <f t="shared" si="2"/>
        <v>0</v>
      </c>
      <c r="G30" s="35"/>
      <c r="H30" s="12"/>
      <c r="I30" s="206">
        <f t="shared" si="3"/>
        <v>0</v>
      </c>
      <c r="J30" s="252"/>
      <c r="K30" s="252"/>
      <c r="L30" s="252"/>
      <c r="M30" s="252"/>
      <c r="N30" s="252"/>
    </row>
    <row r="31" spans="1:26" ht="21.75" customHeight="1">
      <c r="A31" s="471"/>
      <c r="B31" s="497"/>
      <c r="C31" s="39"/>
      <c r="D31" s="20"/>
      <c r="E31" s="12"/>
      <c r="F31" s="40">
        <f t="shared" si="2"/>
        <v>0</v>
      </c>
      <c r="G31" s="35"/>
      <c r="H31" s="12"/>
      <c r="I31" s="206">
        <f t="shared" si="3"/>
        <v>0</v>
      </c>
      <c r="J31" s="252"/>
      <c r="K31" s="252"/>
      <c r="L31" s="252"/>
      <c r="M31" s="252"/>
      <c r="N31" s="252"/>
    </row>
    <row r="32" spans="1:26" ht="21.75" customHeight="1">
      <c r="A32" s="471"/>
      <c r="B32" s="497"/>
      <c r="C32" s="39"/>
      <c r="D32" s="20"/>
      <c r="E32" s="12"/>
      <c r="F32" s="40">
        <f t="shared" si="2"/>
        <v>0</v>
      </c>
      <c r="G32" s="35"/>
      <c r="H32" s="12"/>
      <c r="I32" s="206">
        <f t="shared" si="3"/>
        <v>0</v>
      </c>
      <c r="J32" s="252"/>
      <c r="K32" s="252"/>
      <c r="L32" s="252"/>
      <c r="M32" s="252"/>
      <c r="N32" s="252"/>
    </row>
    <row r="33" spans="1:14" ht="21.75" customHeight="1">
      <c r="A33" s="471"/>
      <c r="B33" s="497"/>
      <c r="C33" s="39"/>
      <c r="D33" s="20"/>
      <c r="E33" s="12"/>
      <c r="F33" s="40">
        <f t="shared" si="2"/>
        <v>0</v>
      </c>
      <c r="G33" s="35"/>
      <c r="H33" s="12"/>
      <c r="I33" s="206">
        <f t="shared" si="3"/>
        <v>0</v>
      </c>
      <c r="J33" s="252"/>
      <c r="K33" s="252"/>
      <c r="L33" s="252"/>
      <c r="M33" s="252"/>
      <c r="N33" s="252"/>
    </row>
    <row r="34" spans="1:14" ht="21.75" customHeight="1">
      <c r="A34" s="471"/>
      <c r="B34" s="497"/>
      <c r="C34" s="39"/>
      <c r="D34" s="20"/>
      <c r="E34" s="12"/>
      <c r="F34" s="40">
        <f t="shared" si="2"/>
        <v>0</v>
      </c>
      <c r="G34" s="35"/>
      <c r="H34" s="12"/>
      <c r="I34" s="206">
        <f t="shared" si="3"/>
        <v>0</v>
      </c>
      <c r="J34" s="252"/>
      <c r="K34" s="252"/>
      <c r="L34" s="252"/>
      <c r="M34" s="252"/>
      <c r="N34" s="252"/>
    </row>
    <row r="35" spans="1:14" ht="21.75" customHeight="1">
      <c r="A35" s="471"/>
      <c r="B35" s="497"/>
      <c r="C35" s="39"/>
      <c r="D35" s="20"/>
      <c r="E35" s="12"/>
      <c r="F35" s="40">
        <f t="shared" si="2"/>
        <v>0</v>
      </c>
      <c r="G35" s="35"/>
      <c r="H35" s="12"/>
      <c r="I35" s="206">
        <f t="shared" si="3"/>
        <v>0</v>
      </c>
      <c r="J35" s="252"/>
      <c r="K35" s="252"/>
      <c r="L35" s="252"/>
      <c r="M35" s="252"/>
      <c r="N35" s="252"/>
    </row>
    <row r="36" spans="1:14" ht="21.75" customHeight="1">
      <c r="A36" s="471"/>
      <c r="B36" s="497"/>
      <c r="C36" s="41"/>
      <c r="D36" s="21"/>
      <c r="E36" s="13"/>
      <c r="F36" s="42">
        <f t="shared" si="2"/>
        <v>0</v>
      </c>
      <c r="G36" s="36"/>
      <c r="H36" s="13"/>
      <c r="I36" s="265">
        <f t="shared" si="3"/>
        <v>0</v>
      </c>
      <c r="J36" s="252"/>
      <c r="K36" s="252"/>
      <c r="L36" s="252"/>
      <c r="M36" s="252"/>
      <c r="N36" s="252"/>
    </row>
    <row r="37" spans="1:14" ht="15.75" customHeight="1" thickBot="1">
      <c r="A37" s="23"/>
      <c r="B37" s="24"/>
      <c r="C37" s="473" t="s">
        <v>122</v>
      </c>
      <c r="D37" s="474"/>
      <c r="E37" s="475"/>
      <c r="F37" s="266">
        <f>SUM(F24:F36)</f>
        <v>0</v>
      </c>
      <c r="G37" s="501" t="s">
        <v>123</v>
      </c>
      <c r="H37" s="502"/>
      <c r="I37" s="266">
        <f>SUM(I24:I36)</f>
        <v>0</v>
      </c>
      <c r="J37" s="252"/>
      <c r="K37" s="252"/>
      <c r="L37" s="252"/>
      <c r="M37" s="252"/>
      <c r="N37" s="252"/>
    </row>
    <row r="38" spans="1:14" ht="20.149999999999999" customHeight="1" thickBot="1">
      <c r="A38" s="469" t="s">
        <v>124</v>
      </c>
      <c r="B38" s="470"/>
      <c r="C38" s="470"/>
      <c r="D38" s="470"/>
      <c r="E38" s="470"/>
      <c r="F38" s="470"/>
      <c r="G38" s="470"/>
      <c r="H38" s="470"/>
      <c r="I38" s="267">
        <f>SUM(I37,F37)</f>
        <v>0</v>
      </c>
      <c r="J38" s="252"/>
      <c r="K38" s="252"/>
      <c r="L38" s="252"/>
      <c r="M38" s="252"/>
      <c r="N38" s="252"/>
    </row>
    <row r="39" spans="1:14" ht="15.75" customHeight="1">
      <c r="A39" s="252"/>
      <c r="B39" s="252"/>
      <c r="C39" s="252"/>
      <c r="D39" s="252"/>
      <c r="E39" s="257"/>
      <c r="F39" s="252"/>
      <c r="G39" s="252"/>
      <c r="H39" s="252"/>
      <c r="I39" s="252"/>
      <c r="J39" s="252"/>
      <c r="K39" s="252"/>
      <c r="L39" s="252"/>
      <c r="M39" s="252"/>
      <c r="N39" s="252"/>
    </row>
    <row r="40" spans="1:14" ht="15.75" customHeight="1">
      <c r="A40" s="252"/>
      <c r="B40" s="252"/>
      <c r="C40" s="252"/>
      <c r="D40" s="252"/>
      <c r="E40" s="257"/>
      <c r="F40" s="252"/>
      <c r="G40" s="252"/>
      <c r="H40" s="252"/>
      <c r="I40" s="252"/>
      <c r="J40" s="252"/>
      <c r="K40" s="252"/>
      <c r="L40" s="252"/>
      <c r="M40" s="252"/>
      <c r="N40" s="252"/>
    </row>
    <row r="41" spans="1:14" ht="15.75" customHeight="1">
      <c r="A41" s="252"/>
      <c r="B41" s="252"/>
      <c r="C41" s="252"/>
      <c r="D41" s="252"/>
      <c r="E41" s="257"/>
      <c r="F41" s="252"/>
      <c r="G41" s="252"/>
      <c r="H41" s="252"/>
      <c r="I41" s="252"/>
      <c r="J41" s="252"/>
      <c r="K41" s="252"/>
      <c r="L41" s="252"/>
      <c r="M41" s="252"/>
      <c r="N41" s="252"/>
    </row>
    <row r="42" spans="1:14" ht="15.75" customHeight="1">
      <c r="A42" s="252"/>
      <c r="B42" s="252"/>
      <c r="C42" s="252"/>
      <c r="D42" s="252"/>
      <c r="E42" s="257"/>
      <c r="F42" s="252"/>
      <c r="G42" s="252"/>
      <c r="H42" s="252"/>
      <c r="I42" s="252"/>
      <c r="J42" s="252"/>
      <c r="K42" s="252"/>
      <c r="L42" s="252"/>
      <c r="M42" s="252"/>
      <c r="N42" s="252"/>
    </row>
    <row r="43" spans="1:14" ht="15.75" customHeight="1">
      <c r="A43" s="252"/>
      <c r="B43" s="252"/>
      <c r="C43" s="252"/>
      <c r="D43" s="252"/>
      <c r="E43" s="257"/>
      <c r="F43" s="252"/>
      <c r="G43" s="252"/>
      <c r="H43" s="252"/>
      <c r="I43" s="252"/>
      <c r="J43" s="252"/>
      <c r="K43" s="252"/>
      <c r="L43" s="252"/>
      <c r="M43" s="252"/>
      <c r="N43" s="252"/>
    </row>
    <row r="44" spans="1:14" ht="15.75" customHeight="1">
      <c r="A44" s="252"/>
      <c r="B44" s="252"/>
      <c r="C44" s="252"/>
      <c r="D44" s="252"/>
      <c r="E44" s="257"/>
      <c r="F44" s="252"/>
      <c r="G44" s="252"/>
      <c r="H44" s="252"/>
      <c r="I44" s="252"/>
      <c r="J44" s="252"/>
      <c r="K44" s="252"/>
      <c r="L44" s="252"/>
      <c r="M44" s="252"/>
      <c r="N44" s="252"/>
    </row>
    <row r="45" spans="1:14" ht="15.75" customHeight="1">
      <c r="A45" s="252"/>
      <c r="B45" s="252"/>
      <c r="C45" s="252"/>
      <c r="D45" s="252"/>
      <c r="E45" s="257"/>
      <c r="F45" s="252"/>
      <c r="G45" s="252"/>
      <c r="H45" s="252"/>
      <c r="I45" s="252"/>
      <c r="J45" s="252"/>
      <c r="K45" s="252"/>
      <c r="L45" s="252"/>
      <c r="M45" s="252"/>
      <c r="N45" s="252"/>
    </row>
    <row r="46" spans="1:14" ht="15.75" customHeight="1">
      <c r="A46" s="252"/>
      <c r="B46" s="252"/>
      <c r="C46" s="252"/>
      <c r="D46" s="252"/>
      <c r="E46" s="257"/>
      <c r="F46" s="252"/>
      <c r="G46" s="252"/>
      <c r="H46" s="252"/>
      <c r="I46" s="252"/>
      <c r="J46" s="252"/>
      <c r="K46" s="252"/>
      <c r="L46" s="252"/>
      <c r="M46" s="252"/>
      <c r="N46" s="252"/>
    </row>
    <row r="47" spans="1:14" ht="15.75" customHeight="1">
      <c r="A47" s="252"/>
      <c r="B47" s="252"/>
      <c r="C47" s="252"/>
      <c r="D47" s="252"/>
      <c r="E47" s="257"/>
      <c r="F47" s="252"/>
      <c r="G47" s="252"/>
      <c r="H47" s="252"/>
      <c r="I47" s="252"/>
      <c r="J47" s="252"/>
      <c r="K47" s="252"/>
      <c r="L47" s="252"/>
      <c r="M47" s="252"/>
      <c r="N47" s="252"/>
    </row>
    <row r="48" spans="1:14" ht="15.75" customHeight="1">
      <c r="A48" s="252"/>
      <c r="B48" s="252"/>
      <c r="C48" s="252"/>
      <c r="D48" s="252"/>
      <c r="E48" s="257"/>
      <c r="F48" s="252"/>
      <c r="G48" s="252"/>
      <c r="H48" s="252"/>
      <c r="I48" s="252"/>
      <c r="J48" s="252"/>
      <c r="K48" s="252"/>
      <c r="L48" s="252"/>
      <c r="M48" s="252"/>
      <c r="N48" s="252"/>
    </row>
    <row r="49" spans="5:5" ht="15.75" customHeight="1">
      <c r="E49" s="9"/>
    </row>
    <row r="50" spans="5:5" ht="15.75" customHeight="1">
      <c r="E50" s="9"/>
    </row>
    <row r="51" spans="5:5" ht="15.75" customHeight="1">
      <c r="E51" s="9"/>
    </row>
    <row r="52" spans="5:5" ht="15.75" customHeight="1">
      <c r="E52" s="9"/>
    </row>
    <row r="53" spans="5:5" ht="15.75" customHeight="1">
      <c r="E53" s="9"/>
    </row>
    <row r="54" spans="5:5" ht="15.75" customHeight="1">
      <c r="E54" s="9"/>
    </row>
    <row r="55" spans="5:5" ht="15.75" customHeight="1">
      <c r="E55" s="9"/>
    </row>
    <row r="56" spans="5:5" ht="15.75" customHeight="1">
      <c r="E56" s="9"/>
    </row>
    <row r="57" spans="5:5" ht="15.75" customHeight="1">
      <c r="E57" s="9"/>
    </row>
    <row r="58" spans="5:5" ht="15.75" customHeight="1">
      <c r="E58" s="9"/>
    </row>
    <row r="59" spans="5:5" ht="15.75" customHeight="1">
      <c r="E59" s="9"/>
    </row>
    <row r="60" spans="5:5" ht="15.75" customHeight="1">
      <c r="E60" s="9"/>
    </row>
    <row r="61" spans="5:5" ht="15.75" customHeight="1">
      <c r="E61" s="9"/>
    </row>
    <row r="62" spans="5:5" ht="15.75" customHeight="1">
      <c r="E62" s="9"/>
    </row>
    <row r="63" spans="5:5" ht="15.75" customHeight="1">
      <c r="E63" s="9"/>
    </row>
    <row r="64" spans="5: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6:B6"/>
    <mergeCell ref="A1:F2"/>
    <mergeCell ref="A3:I3"/>
    <mergeCell ref="A4:B5"/>
    <mergeCell ref="C4:F4"/>
    <mergeCell ref="G4:I4"/>
    <mergeCell ref="A18:B18"/>
    <mergeCell ref="A7:B7"/>
    <mergeCell ref="A8:B8"/>
    <mergeCell ref="A9:B9"/>
    <mergeCell ref="A10:B10"/>
    <mergeCell ref="A11:B11"/>
    <mergeCell ref="A12:B12"/>
    <mergeCell ref="A13:B13"/>
    <mergeCell ref="A14:B14"/>
    <mergeCell ref="A15:B15"/>
    <mergeCell ref="A16:B16"/>
    <mergeCell ref="A17:B17"/>
    <mergeCell ref="A29:B29"/>
    <mergeCell ref="C19:E19"/>
    <mergeCell ref="G19:H19"/>
    <mergeCell ref="A20:H20"/>
    <mergeCell ref="A21:I21"/>
    <mergeCell ref="A22:B23"/>
    <mergeCell ref="C22:F22"/>
    <mergeCell ref="G22:I22"/>
    <mergeCell ref="A24:B24"/>
    <mergeCell ref="A25:B25"/>
    <mergeCell ref="A26:B26"/>
    <mergeCell ref="A27:B27"/>
    <mergeCell ref="A28:B28"/>
    <mergeCell ref="A36:B36"/>
    <mergeCell ref="C37:E37"/>
    <mergeCell ref="G37:H37"/>
    <mergeCell ref="A38:H38"/>
    <mergeCell ref="A30:B30"/>
    <mergeCell ref="A31:B31"/>
    <mergeCell ref="A32:B32"/>
    <mergeCell ref="A33:B33"/>
    <mergeCell ref="A34:B34"/>
    <mergeCell ref="A35:B35"/>
  </mergeCells>
  <conditionalFormatting sqref="G2:H2">
    <cfRule type="expression" dxfId="11" priority="1" stopIfTrue="1">
      <formula>"MM/DD/YY"</formula>
    </cfRule>
  </conditionalFormatting>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18433" r:id="rId4" name="CommandButton1">
          <controlPr defaultSize="0" autoLine="0" altText="Add A Row Command Button" r:id="rId5">
            <anchor moveWithCells="1">
              <from>
                <xdr:col>9</xdr:col>
                <xdr:colOff>279400</xdr:colOff>
                <xdr:row>17</xdr:row>
                <xdr:rowOff>0</xdr:rowOff>
              </from>
              <to>
                <xdr:col>11</xdr:col>
                <xdr:colOff>406400</xdr:colOff>
                <xdr:row>18</xdr:row>
                <xdr:rowOff>12700</xdr:rowOff>
              </to>
            </anchor>
          </controlPr>
        </control>
      </mc:Choice>
      <mc:Fallback>
        <control shapeId="18433" r:id="rId4" name="CommandButton1"/>
      </mc:Fallback>
    </mc:AlternateContent>
  </control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92AB2-A416-42BB-AFF6-F96AD4C5432A}">
  <sheetPr codeName="Sheet18">
    <pageSetUpPr fitToPage="1"/>
  </sheetPr>
  <dimension ref="A1:Z1003"/>
  <sheetViews>
    <sheetView topLeftCell="C6" zoomScaleNormal="10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184</v>
      </c>
      <c r="B1" s="387"/>
      <c r="C1" s="387"/>
      <c r="D1" s="387"/>
      <c r="E1" s="387"/>
      <c r="F1" s="387"/>
      <c r="G1" s="258" t="s">
        <v>165</v>
      </c>
      <c r="H1" s="259"/>
      <c r="I1" s="162" t="s">
        <v>166</v>
      </c>
      <c r="J1" s="252"/>
      <c r="K1" s="252"/>
      <c r="L1" s="252"/>
      <c r="M1" s="252"/>
      <c r="N1" s="252"/>
    </row>
    <row r="2" spans="1:26" ht="15" customHeight="1" thickBot="1">
      <c r="A2" s="388"/>
      <c r="B2" s="389"/>
      <c r="C2" s="389"/>
      <c r="D2" s="389"/>
      <c r="E2" s="389"/>
      <c r="F2" s="389"/>
      <c r="G2" s="163" t="str">
        <f>IF(INPUT!C3=0,"",INPUT!C3)</f>
        <v>RLP # 36C248-25-R-0110 – EXHIBIT K</v>
      </c>
      <c r="H2" s="163"/>
      <c r="I2" s="164" t="str">
        <f>IF(INPUT!C10=0,"",INPUT!C10)</f>
        <v/>
      </c>
      <c r="J2" s="252"/>
      <c r="K2" s="252"/>
      <c r="L2" s="252"/>
      <c r="M2" s="252"/>
      <c r="N2" s="252"/>
    </row>
    <row r="3" spans="1:26" s="10" customFormat="1" ht="36" customHeight="1" thickBot="1">
      <c r="A3" s="480" t="s">
        <v>185</v>
      </c>
      <c r="B3" s="402"/>
      <c r="C3" s="402"/>
      <c r="D3" s="402"/>
      <c r="E3" s="402"/>
      <c r="F3" s="402"/>
      <c r="G3" s="402"/>
      <c r="H3" s="402"/>
      <c r="I3" s="403"/>
      <c r="J3" s="253"/>
      <c r="K3" s="253"/>
      <c r="L3" s="253"/>
      <c r="M3" s="253"/>
      <c r="N3" s="253"/>
    </row>
    <row r="4" spans="1:26" ht="15.5">
      <c r="A4" s="498" t="s">
        <v>93</v>
      </c>
      <c r="B4" s="499"/>
      <c r="C4" s="390" t="s">
        <v>91</v>
      </c>
      <c r="D4" s="382"/>
      <c r="E4" s="382"/>
      <c r="F4" s="383"/>
      <c r="G4" s="509" t="s">
        <v>92</v>
      </c>
      <c r="H4" s="510"/>
      <c r="I4" s="511"/>
      <c r="J4" s="252"/>
      <c r="K4" s="252"/>
      <c r="L4" s="252"/>
      <c r="M4" s="252"/>
      <c r="N4" s="252"/>
    </row>
    <row r="5" spans="1:26" ht="15.75" customHeight="1" thickBot="1">
      <c r="A5" s="454"/>
      <c r="B5" s="500"/>
      <c r="C5" s="37" t="s">
        <v>129</v>
      </c>
      <c r="D5" s="27" t="s">
        <v>95</v>
      </c>
      <c r="E5" s="28" t="s">
        <v>61</v>
      </c>
      <c r="F5" s="38" t="s">
        <v>79</v>
      </c>
      <c r="G5" s="29" t="s">
        <v>96</v>
      </c>
      <c r="H5" s="30" t="s">
        <v>85</v>
      </c>
      <c r="I5" s="31" t="s">
        <v>79</v>
      </c>
      <c r="J5" s="252"/>
      <c r="K5" s="252"/>
      <c r="L5" s="252"/>
      <c r="M5" s="252"/>
      <c r="N5" s="252"/>
    </row>
    <row r="6" spans="1:26" ht="21.75" customHeight="1">
      <c r="A6" s="476" t="s">
        <v>149</v>
      </c>
      <c r="B6" s="497"/>
      <c r="C6" s="34">
        <v>1</v>
      </c>
      <c r="D6" s="19" t="s">
        <v>148</v>
      </c>
      <c r="E6" s="11">
        <v>0</v>
      </c>
      <c r="F6" s="260">
        <f t="shared" ref="F6:F18" si="0">C6*E6</f>
        <v>0</v>
      </c>
      <c r="G6" s="32">
        <v>1</v>
      </c>
      <c r="H6" s="17">
        <v>0</v>
      </c>
      <c r="I6" s="261">
        <f t="shared" ref="I6:I18" si="1">G6*H6</f>
        <v>0</v>
      </c>
      <c r="J6" s="254"/>
      <c r="K6" s="254"/>
      <c r="L6" s="254"/>
      <c r="M6" s="254"/>
      <c r="N6" s="254"/>
      <c r="O6" s="6"/>
      <c r="P6" s="6"/>
      <c r="Q6" s="6"/>
      <c r="R6" s="6"/>
      <c r="S6" s="6"/>
      <c r="T6" s="6"/>
      <c r="U6" s="6"/>
      <c r="V6" s="6"/>
      <c r="W6" s="6"/>
      <c r="X6" s="6"/>
      <c r="Y6" s="6"/>
      <c r="Z6" s="6"/>
    </row>
    <row r="7" spans="1:26" ht="21.75" customHeight="1">
      <c r="A7" s="476"/>
      <c r="B7" s="497"/>
      <c r="C7" s="34"/>
      <c r="D7" s="19"/>
      <c r="E7" s="11"/>
      <c r="F7" s="260">
        <f>C7*E7</f>
        <v>0</v>
      </c>
      <c r="G7" s="33"/>
      <c r="H7" s="18"/>
      <c r="I7" s="179">
        <f t="shared" si="1"/>
        <v>0</v>
      </c>
      <c r="J7" s="254"/>
      <c r="K7" s="254"/>
      <c r="L7" s="254"/>
      <c r="M7" s="254"/>
      <c r="N7" s="254"/>
      <c r="O7" s="6"/>
      <c r="P7" s="6"/>
      <c r="Q7" s="6"/>
      <c r="R7" s="6"/>
      <c r="S7" s="6"/>
      <c r="T7" s="6"/>
      <c r="U7" s="6"/>
      <c r="V7" s="6"/>
      <c r="W7" s="6"/>
      <c r="X7" s="6"/>
      <c r="Y7" s="6"/>
      <c r="Z7" s="6"/>
    </row>
    <row r="8" spans="1:26" ht="21.75" customHeight="1">
      <c r="A8" s="476"/>
      <c r="B8" s="497"/>
      <c r="C8" s="34"/>
      <c r="D8" s="19"/>
      <c r="E8" s="11"/>
      <c r="F8" s="262">
        <f t="shared" si="0"/>
        <v>0</v>
      </c>
      <c r="G8" s="33"/>
      <c r="H8" s="18"/>
      <c r="I8" s="179">
        <f t="shared" si="1"/>
        <v>0</v>
      </c>
      <c r="J8" s="254"/>
      <c r="K8" s="254"/>
      <c r="L8" s="254"/>
      <c r="M8" s="254"/>
      <c r="N8" s="254"/>
      <c r="O8" s="6"/>
      <c r="P8" s="6"/>
      <c r="Q8" s="6"/>
      <c r="R8" s="6"/>
      <c r="S8" s="6"/>
      <c r="T8" s="6"/>
      <c r="U8" s="6"/>
      <c r="V8" s="6"/>
      <c r="W8" s="6"/>
      <c r="X8" s="6"/>
      <c r="Y8" s="6"/>
      <c r="Z8" s="6"/>
    </row>
    <row r="9" spans="1:26" ht="21.75" customHeight="1">
      <c r="A9" s="476"/>
      <c r="B9" s="497"/>
      <c r="C9" s="34"/>
      <c r="D9" s="19"/>
      <c r="E9" s="11"/>
      <c r="F9" s="262">
        <f t="shared" si="0"/>
        <v>0</v>
      </c>
      <c r="G9" s="33"/>
      <c r="H9" s="18"/>
      <c r="I9" s="179">
        <f t="shared" si="1"/>
        <v>0</v>
      </c>
      <c r="J9" s="254"/>
      <c r="K9" s="254"/>
      <c r="L9" s="254"/>
      <c r="M9" s="254"/>
      <c r="N9" s="254"/>
      <c r="O9" s="6"/>
      <c r="P9" s="6"/>
      <c r="Q9" s="6"/>
      <c r="R9" s="6"/>
      <c r="S9" s="6"/>
      <c r="T9" s="6"/>
      <c r="U9" s="6"/>
      <c r="V9" s="6"/>
      <c r="W9" s="6"/>
      <c r="X9" s="6"/>
      <c r="Y9" s="6"/>
      <c r="Z9" s="6"/>
    </row>
    <row r="10" spans="1:26" ht="21.75" customHeight="1">
      <c r="A10" s="476"/>
      <c r="B10" s="497"/>
      <c r="C10" s="34"/>
      <c r="D10" s="19"/>
      <c r="E10" s="11"/>
      <c r="F10" s="260">
        <f t="shared" si="0"/>
        <v>0</v>
      </c>
      <c r="G10" s="33"/>
      <c r="H10" s="18"/>
      <c r="I10" s="179">
        <f t="shared" si="1"/>
        <v>0</v>
      </c>
      <c r="J10" s="254"/>
      <c r="K10" s="254"/>
      <c r="L10" s="254"/>
      <c r="M10" s="254"/>
      <c r="N10" s="254"/>
      <c r="O10" s="6"/>
      <c r="P10" s="6"/>
      <c r="Q10" s="6"/>
      <c r="R10" s="6"/>
      <c r="S10" s="6"/>
      <c r="T10" s="6"/>
      <c r="U10" s="6"/>
      <c r="V10" s="6"/>
      <c r="W10" s="6"/>
      <c r="X10" s="6"/>
      <c r="Y10" s="6"/>
      <c r="Z10" s="6"/>
    </row>
    <row r="11" spans="1:26" ht="21.75" customHeight="1">
      <c r="A11" s="476"/>
      <c r="B11" s="497"/>
      <c r="C11" s="34"/>
      <c r="D11" s="19"/>
      <c r="E11" s="11"/>
      <c r="F11" s="260">
        <f t="shared" si="0"/>
        <v>0</v>
      </c>
      <c r="G11" s="33"/>
      <c r="H11" s="18"/>
      <c r="I11" s="179">
        <f t="shared" si="1"/>
        <v>0</v>
      </c>
      <c r="J11" s="254"/>
      <c r="K11" s="254"/>
      <c r="L11" s="254"/>
      <c r="M11" s="254"/>
      <c r="N11" s="254"/>
      <c r="O11" s="6"/>
      <c r="P11" s="6"/>
      <c r="Q11" s="6"/>
      <c r="R11" s="6"/>
      <c r="S11" s="6"/>
      <c r="T11" s="6"/>
      <c r="U11" s="6"/>
      <c r="V11" s="6"/>
      <c r="W11" s="6"/>
      <c r="X11" s="6"/>
      <c r="Y11" s="6"/>
      <c r="Z11" s="6"/>
    </row>
    <row r="12" spans="1:26" ht="21.75" customHeight="1">
      <c r="A12" s="476"/>
      <c r="B12" s="497"/>
      <c r="C12" s="34"/>
      <c r="D12" s="19"/>
      <c r="E12" s="11"/>
      <c r="F12" s="260">
        <f t="shared" si="0"/>
        <v>0</v>
      </c>
      <c r="G12" s="33"/>
      <c r="H12" s="18"/>
      <c r="I12" s="179">
        <f t="shared" si="1"/>
        <v>0</v>
      </c>
      <c r="J12" s="254"/>
      <c r="K12" s="254"/>
      <c r="L12" s="254"/>
      <c r="M12" s="254"/>
      <c r="N12" s="254"/>
      <c r="O12" s="6"/>
      <c r="P12" s="6"/>
      <c r="Q12" s="6"/>
      <c r="R12" s="6"/>
      <c r="S12" s="6"/>
      <c r="T12" s="6"/>
      <c r="U12" s="6"/>
      <c r="V12" s="6"/>
      <c r="W12" s="6"/>
      <c r="X12" s="6"/>
      <c r="Y12" s="6"/>
      <c r="Z12" s="6"/>
    </row>
    <row r="13" spans="1:26" ht="21.75" customHeight="1">
      <c r="A13" s="476"/>
      <c r="B13" s="497"/>
      <c r="C13" s="34"/>
      <c r="D13" s="19"/>
      <c r="E13" s="11"/>
      <c r="F13" s="260">
        <f t="shared" si="0"/>
        <v>0</v>
      </c>
      <c r="G13" s="33"/>
      <c r="H13" s="18"/>
      <c r="I13" s="179">
        <f t="shared" si="1"/>
        <v>0</v>
      </c>
      <c r="J13" s="254"/>
      <c r="K13" s="254"/>
      <c r="L13" s="254"/>
      <c r="M13" s="254"/>
      <c r="N13" s="254"/>
      <c r="O13" s="6"/>
      <c r="P13" s="6"/>
      <c r="Q13" s="6"/>
      <c r="R13" s="6"/>
      <c r="S13" s="6"/>
      <c r="T13" s="6"/>
      <c r="U13" s="6"/>
      <c r="V13" s="6"/>
      <c r="W13" s="6"/>
      <c r="X13" s="6"/>
      <c r="Y13" s="6"/>
      <c r="Z13" s="6"/>
    </row>
    <row r="14" spans="1:26" ht="21.75" customHeight="1">
      <c r="A14" s="476"/>
      <c r="B14" s="497"/>
      <c r="C14" s="34"/>
      <c r="D14" s="19"/>
      <c r="E14" s="11"/>
      <c r="F14" s="260">
        <f t="shared" si="0"/>
        <v>0</v>
      </c>
      <c r="G14" s="33"/>
      <c r="H14" s="18"/>
      <c r="I14" s="179">
        <f t="shared" si="1"/>
        <v>0</v>
      </c>
      <c r="J14" s="254"/>
      <c r="K14" s="254"/>
      <c r="L14" s="254"/>
      <c r="M14" s="254"/>
      <c r="N14" s="254"/>
      <c r="O14" s="6"/>
      <c r="P14" s="6"/>
      <c r="Q14" s="6"/>
      <c r="R14" s="6"/>
      <c r="S14" s="6"/>
      <c r="T14" s="6"/>
      <c r="U14" s="6"/>
      <c r="V14" s="6"/>
      <c r="W14" s="6"/>
      <c r="X14" s="6"/>
      <c r="Y14" s="6"/>
      <c r="Z14" s="6"/>
    </row>
    <row r="15" spans="1:26" ht="21.75" customHeight="1">
      <c r="A15" s="476"/>
      <c r="B15" s="497"/>
      <c r="C15" s="34"/>
      <c r="D15" s="19"/>
      <c r="E15" s="11"/>
      <c r="F15" s="260">
        <f t="shared" si="0"/>
        <v>0</v>
      </c>
      <c r="G15" s="33"/>
      <c r="H15" s="18"/>
      <c r="I15" s="179">
        <f t="shared" si="1"/>
        <v>0</v>
      </c>
      <c r="J15" s="254"/>
      <c r="K15" s="254"/>
      <c r="L15" s="254"/>
      <c r="M15" s="254"/>
      <c r="N15" s="254"/>
      <c r="O15" s="6"/>
      <c r="P15" s="6"/>
      <c r="Q15" s="6"/>
      <c r="R15" s="6"/>
      <c r="S15" s="6"/>
      <c r="T15" s="6"/>
      <c r="U15" s="6"/>
      <c r="V15" s="6"/>
      <c r="W15" s="6"/>
      <c r="X15" s="6"/>
      <c r="Y15" s="6"/>
      <c r="Z15" s="6"/>
    </row>
    <row r="16" spans="1:26" ht="21.75" customHeight="1">
      <c r="A16" s="476"/>
      <c r="B16" s="497"/>
      <c r="C16" s="34"/>
      <c r="D16" s="19"/>
      <c r="E16" s="11"/>
      <c r="F16" s="260">
        <f t="shared" si="0"/>
        <v>0</v>
      </c>
      <c r="G16" s="33"/>
      <c r="H16" s="18"/>
      <c r="I16" s="179">
        <f t="shared" si="1"/>
        <v>0</v>
      </c>
      <c r="J16" s="254"/>
      <c r="K16" s="254"/>
      <c r="L16" s="254"/>
      <c r="M16" s="254"/>
      <c r="N16" s="254"/>
      <c r="O16" s="6"/>
      <c r="P16" s="6"/>
      <c r="Q16" s="6"/>
      <c r="R16" s="6"/>
      <c r="S16" s="6"/>
      <c r="T16" s="6"/>
      <c r="U16" s="6"/>
      <c r="V16" s="6"/>
      <c r="W16" s="6"/>
      <c r="X16" s="6"/>
      <c r="Y16" s="6"/>
      <c r="Z16" s="6"/>
    </row>
    <row r="17" spans="1:26" ht="21.75" customHeight="1">
      <c r="A17" s="476"/>
      <c r="B17" s="497"/>
      <c r="C17" s="34"/>
      <c r="D17" s="19"/>
      <c r="E17" s="11"/>
      <c r="F17" s="260">
        <f t="shared" si="0"/>
        <v>0</v>
      </c>
      <c r="G17" s="33"/>
      <c r="H17" s="18"/>
      <c r="I17" s="179">
        <f t="shared" si="1"/>
        <v>0</v>
      </c>
      <c r="J17" s="254"/>
      <c r="K17" s="254"/>
      <c r="L17" s="254"/>
      <c r="M17" s="254"/>
      <c r="N17" s="254"/>
      <c r="O17" s="6"/>
      <c r="P17" s="6"/>
      <c r="Q17" s="6"/>
      <c r="R17" s="6"/>
      <c r="S17" s="6"/>
      <c r="T17" s="6"/>
      <c r="U17" s="6"/>
      <c r="V17" s="6"/>
      <c r="W17" s="6"/>
      <c r="X17" s="6"/>
      <c r="Y17" s="6"/>
      <c r="Z17" s="6"/>
    </row>
    <row r="18" spans="1:26" ht="21.75" customHeight="1">
      <c r="A18" s="476"/>
      <c r="B18" s="497"/>
      <c r="C18" s="34"/>
      <c r="D18" s="19"/>
      <c r="E18" s="11"/>
      <c r="F18" s="263">
        <f t="shared" si="0"/>
        <v>0</v>
      </c>
      <c r="G18" s="32"/>
      <c r="H18" s="16"/>
      <c r="I18" s="182">
        <f t="shared" si="1"/>
        <v>0</v>
      </c>
      <c r="J18" s="254"/>
      <c r="K18" s="254"/>
      <c r="L18" s="254"/>
      <c r="M18" s="254"/>
      <c r="N18" s="254"/>
      <c r="O18" s="6"/>
      <c r="P18" s="6"/>
      <c r="Q18" s="6"/>
      <c r="R18" s="6"/>
      <c r="S18" s="6"/>
      <c r="T18" s="6"/>
      <c r="U18" s="6"/>
      <c r="V18" s="6"/>
      <c r="W18" s="6"/>
      <c r="X18" s="6"/>
      <c r="Y18" s="6"/>
      <c r="Z18" s="6"/>
    </row>
    <row r="19" spans="1:26" ht="15.75" customHeight="1" thickBot="1">
      <c r="A19" s="23"/>
      <c r="B19" s="24"/>
      <c r="C19" s="467" t="s">
        <v>122</v>
      </c>
      <c r="D19" s="468"/>
      <c r="E19" s="468"/>
      <c r="F19" s="25">
        <f>SUM(F6:F18)</f>
        <v>0</v>
      </c>
      <c r="G19" s="468" t="s">
        <v>123</v>
      </c>
      <c r="H19" s="468"/>
      <c r="I19" s="25">
        <f>SUM(I6:I18)</f>
        <v>0</v>
      </c>
      <c r="J19" s="255"/>
      <c r="K19" s="255"/>
      <c r="L19" s="255"/>
      <c r="M19" s="255"/>
      <c r="N19" s="255"/>
      <c r="O19" s="7"/>
      <c r="P19" s="7"/>
      <c r="Q19" s="7"/>
      <c r="R19" s="7"/>
      <c r="S19" s="7"/>
      <c r="T19" s="7"/>
      <c r="U19" s="7"/>
      <c r="V19" s="7"/>
      <c r="W19" s="7"/>
      <c r="X19" s="7"/>
      <c r="Y19" s="7"/>
      <c r="Z19" s="7"/>
    </row>
    <row r="20" spans="1:26" ht="20.149999999999999" customHeight="1" thickBot="1">
      <c r="A20" s="469" t="s">
        <v>125</v>
      </c>
      <c r="B20" s="470"/>
      <c r="C20" s="470"/>
      <c r="D20" s="470"/>
      <c r="E20" s="470"/>
      <c r="F20" s="470"/>
      <c r="G20" s="470"/>
      <c r="H20" s="470"/>
      <c r="I20" s="26">
        <f>SUM(I19,F19)</f>
        <v>0</v>
      </c>
      <c r="J20" s="255"/>
      <c r="K20" s="255"/>
      <c r="L20" s="255"/>
      <c r="M20" s="255"/>
      <c r="N20" s="255"/>
      <c r="O20" s="7"/>
      <c r="P20" s="7"/>
      <c r="Q20" s="7"/>
      <c r="R20" s="7"/>
      <c r="S20" s="7"/>
      <c r="T20" s="7"/>
      <c r="U20" s="7"/>
      <c r="V20" s="7"/>
      <c r="W20" s="7"/>
      <c r="X20" s="7"/>
      <c r="Y20" s="7"/>
      <c r="Z20" s="7"/>
    </row>
    <row r="21" spans="1:26" ht="36" customHeight="1" thickBot="1">
      <c r="A21" s="492" t="s">
        <v>186</v>
      </c>
      <c r="B21" s="493"/>
      <c r="C21" s="493"/>
      <c r="D21" s="493"/>
      <c r="E21" s="493"/>
      <c r="F21" s="493"/>
      <c r="G21" s="493"/>
      <c r="H21" s="493"/>
      <c r="I21" s="494"/>
      <c r="J21" s="255"/>
      <c r="K21" s="255"/>
      <c r="L21" s="255"/>
      <c r="M21" s="255"/>
      <c r="N21" s="255"/>
      <c r="O21" s="7"/>
      <c r="P21" s="7"/>
      <c r="Q21" s="7"/>
      <c r="R21" s="7"/>
      <c r="S21" s="7"/>
      <c r="T21" s="7"/>
      <c r="U21" s="7"/>
      <c r="V21" s="7"/>
      <c r="W21" s="7"/>
      <c r="X21" s="7"/>
      <c r="Y21" s="7"/>
      <c r="Z21" s="7"/>
    </row>
    <row r="22" spans="1:26" ht="15.5">
      <c r="A22" s="503" t="s">
        <v>93</v>
      </c>
      <c r="B22" s="504"/>
      <c r="C22" s="505" t="s">
        <v>91</v>
      </c>
      <c r="D22" s="506"/>
      <c r="E22" s="506"/>
      <c r="F22" s="507"/>
      <c r="G22" s="508" t="s">
        <v>92</v>
      </c>
      <c r="H22" s="506"/>
      <c r="I22" s="507"/>
      <c r="J22" s="256"/>
      <c r="K22" s="256"/>
      <c r="L22" s="256"/>
      <c r="M22" s="256"/>
      <c r="N22" s="256"/>
      <c r="O22" s="8"/>
      <c r="P22" s="8"/>
      <c r="Q22" s="8"/>
      <c r="R22" s="8"/>
      <c r="S22" s="8"/>
      <c r="T22" s="8"/>
      <c r="U22" s="8"/>
      <c r="V22" s="8"/>
      <c r="W22" s="8"/>
      <c r="X22" s="8"/>
      <c r="Y22" s="8"/>
      <c r="Z22" s="8"/>
    </row>
    <row r="23" spans="1:26" ht="15.75" customHeight="1" thickBot="1">
      <c r="A23" s="454"/>
      <c r="B23" s="500"/>
      <c r="C23" s="37" t="s">
        <v>129</v>
      </c>
      <c r="D23" s="27" t="s">
        <v>95</v>
      </c>
      <c r="E23" s="28" t="s">
        <v>61</v>
      </c>
      <c r="F23" s="38" t="s">
        <v>79</v>
      </c>
      <c r="G23" s="29" t="s">
        <v>96</v>
      </c>
      <c r="H23" s="30" t="s">
        <v>85</v>
      </c>
      <c r="I23" s="31" t="s">
        <v>79</v>
      </c>
      <c r="J23" s="256"/>
      <c r="K23" s="256"/>
      <c r="L23" s="256"/>
      <c r="M23" s="256"/>
      <c r="N23" s="256"/>
      <c r="O23" s="8"/>
      <c r="P23" s="8"/>
      <c r="Q23" s="8"/>
      <c r="R23" s="8"/>
      <c r="S23" s="8"/>
      <c r="T23" s="8"/>
      <c r="U23" s="8"/>
      <c r="V23" s="8"/>
      <c r="W23" s="8"/>
      <c r="X23" s="8"/>
      <c r="Y23" s="8"/>
      <c r="Z23" s="8"/>
    </row>
    <row r="24" spans="1:26" ht="21.75" customHeight="1">
      <c r="A24" s="471"/>
      <c r="B24" s="497"/>
      <c r="C24" s="39">
        <v>1</v>
      </c>
      <c r="D24" s="20"/>
      <c r="E24" s="12">
        <v>0</v>
      </c>
      <c r="F24" s="40">
        <f t="shared" ref="F24:F36" si="2">C24*E24</f>
        <v>0</v>
      </c>
      <c r="G24" s="35">
        <v>1</v>
      </c>
      <c r="H24" s="12">
        <v>0</v>
      </c>
      <c r="I24" s="264">
        <f>G24*H24</f>
        <v>0</v>
      </c>
      <c r="J24" s="252"/>
      <c r="K24" s="252"/>
      <c r="L24" s="252"/>
      <c r="M24" s="252"/>
      <c r="N24" s="252"/>
    </row>
    <row r="25" spans="1:26" ht="21.75" customHeight="1">
      <c r="A25" s="471"/>
      <c r="B25" s="497"/>
      <c r="C25" s="39"/>
      <c r="D25" s="20"/>
      <c r="E25" s="12"/>
      <c r="F25" s="40">
        <f t="shared" si="2"/>
        <v>0</v>
      </c>
      <c r="G25" s="35"/>
      <c r="H25" s="12"/>
      <c r="I25" s="206">
        <f t="shared" ref="I25:I36" si="3">G25*H25</f>
        <v>0</v>
      </c>
      <c r="J25" s="252"/>
      <c r="K25" s="252"/>
      <c r="L25" s="252"/>
      <c r="M25" s="252"/>
      <c r="N25" s="252"/>
    </row>
    <row r="26" spans="1:26" ht="21.75" customHeight="1">
      <c r="A26" s="471"/>
      <c r="B26" s="497"/>
      <c r="C26" s="39"/>
      <c r="D26" s="20"/>
      <c r="E26" s="12"/>
      <c r="F26" s="40">
        <f t="shared" si="2"/>
        <v>0</v>
      </c>
      <c r="G26" s="35"/>
      <c r="H26" s="12"/>
      <c r="I26" s="206">
        <f t="shared" si="3"/>
        <v>0</v>
      </c>
      <c r="J26" s="252"/>
      <c r="K26" s="252"/>
      <c r="L26" s="252"/>
      <c r="M26" s="252"/>
      <c r="N26" s="252"/>
    </row>
    <row r="27" spans="1:26" ht="21.75" customHeight="1">
      <c r="A27" s="471"/>
      <c r="B27" s="497"/>
      <c r="C27" s="39"/>
      <c r="D27" s="20"/>
      <c r="E27" s="12"/>
      <c r="F27" s="40">
        <f t="shared" si="2"/>
        <v>0</v>
      </c>
      <c r="G27" s="35"/>
      <c r="H27" s="12"/>
      <c r="I27" s="206">
        <f t="shared" si="3"/>
        <v>0</v>
      </c>
      <c r="J27" s="252"/>
      <c r="K27" s="252"/>
      <c r="L27" s="252"/>
      <c r="M27" s="252"/>
      <c r="N27" s="252"/>
    </row>
    <row r="28" spans="1:26" ht="21.75" customHeight="1">
      <c r="A28" s="471"/>
      <c r="B28" s="497"/>
      <c r="C28" s="39"/>
      <c r="D28" s="20"/>
      <c r="E28" s="12"/>
      <c r="F28" s="40">
        <f t="shared" si="2"/>
        <v>0</v>
      </c>
      <c r="G28" s="35"/>
      <c r="H28" s="12"/>
      <c r="I28" s="206">
        <f t="shared" si="3"/>
        <v>0</v>
      </c>
      <c r="J28" s="252"/>
      <c r="K28" s="252"/>
      <c r="L28" s="252"/>
      <c r="M28" s="252"/>
      <c r="N28" s="252"/>
    </row>
    <row r="29" spans="1:26" ht="21.75" customHeight="1">
      <c r="A29" s="471"/>
      <c r="B29" s="497"/>
      <c r="C29" s="39"/>
      <c r="D29" s="20"/>
      <c r="E29" s="12"/>
      <c r="F29" s="40">
        <f t="shared" si="2"/>
        <v>0</v>
      </c>
      <c r="G29" s="35"/>
      <c r="H29" s="12"/>
      <c r="I29" s="206">
        <f t="shared" si="3"/>
        <v>0</v>
      </c>
      <c r="J29" s="252"/>
      <c r="K29" s="252"/>
      <c r="L29" s="252"/>
      <c r="M29" s="252"/>
      <c r="N29" s="252"/>
    </row>
    <row r="30" spans="1:26" ht="21.75" customHeight="1">
      <c r="A30" s="471"/>
      <c r="B30" s="497"/>
      <c r="C30" s="39"/>
      <c r="D30" s="20"/>
      <c r="E30" s="12"/>
      <c r="F30" s="40">
        <f t="shared" si="2"/>
        <v>0</v>
      </c>
      <c r="G30" s="35"/>
      <c r="H30" s="12"/>
      <c r="I30" s="206">
        <f t="shared" si="3"/>
        <v>0</v>
      </c>
      <c r="J30" s="252"/>
      <c r="K30" s="252"/>
      <c r="L30" s="252"/>
      <c r="M30" s="252"/>
      <c r="N30" s="252"/>
    </row>
    <row r="31" spans="1:26" ht="21.75" customHeight="1">
      <c r="A31" s="471"/>
      <c r="B31" s="497"/>
      <c r="C31" s="39"/>
      <c r="D31" s="20"/>
      <c r="E31" s="12"/>
      <c r="F31" s="40">
        <f t="shared" si="2"/>
        <v>0</v>
      </c>
      <c r="G31" s="35"/>
      <c r="H31" s="12"/>
      <c r="I31" s="206">
        <f t="shared" si="3"/>
        <v>0</v>
      </c>
      <c r="J31" s="252"/>
      <c r="K31" s="252"/>
      <c r="L31" s="252"/>
      <c r="M31" s="252"/>
      <c r="N31" s="252"/>
    </row>
    <row r="32" spans="1:26" ht="21.75" customHeight="1">
      <c r="A32" s="471"/>
      <c r="B32" s="497"/>
      <c r="C32" s="39"/>
      <c r="D32" s="20"/>
      <c r="E32" s="12"/>
      <c r="F32" s="40">
        <f t="shared" si="2"/>
        <v>0</v>
      </c>
      <c r="G32" s="35"/>
      <c r="H32" s="12"/>
      <c r="I32" s="206">
        <f t="shared" si="3"/>
        <v>0</v>
      </c>
      <c r="J32" s="252"/>
      <c r="K32" s="252"/>
      <c r="L32" s="252"/>
      <c r="M32" s="252"/>
      <c r="N32" s="252"/>
    </row>
    <row r="33" spans="1:14" ht="21.75" customHeight="1">
      <c r="A33" s="471"/>
      <c r="B33" s="497"/>
      <c r="C33" s="39"/>
      <c r="D33" s="20"/>
      <c r="E33" s="12"/>
      <c r="F33" s="40">
        <f t="shared" si="2"/>
        <v>0</v>
      </c>
      <c r="G33" s="35"/>
      <c r="H33" s="12"/>
      <c r="I33" s="206">
        <f t="shared" si="3"/>
        <v>0</v>
      </c>
      <c r="J33" s="252"/>
      <c r="K33" s="252"/>
      <c r="L33" s="252"/>
      <c r="M33" s="252"/>
      <c r="N33" s="252"/>
    </row>
    <row r="34" spans="1:14" ht="21.75" customHeight="1">
      <c r="A34" s="471"/>
      <c r="B34" s="497"/>
      <c r="C34" s="39"/>
      <c r="D34" s="20"/>
      <c r="E34" s="12"/>
      <c r="F34" s="40">
        <f t="shared" si="2"/>
        <v>0</v>
      </c>
      <c r="G34" s="35"/>
      <c r="H34" s="12"/>
      <c r="I34" s="206">
        <f t="shared" si="3"/>
        <v>0</v>
      </c>
      <c r="J34" s="252"/>
      <c r="K34" s="252"/>
      <c r="L34" s="252"/>
      <c r="M34" s="252"/>
      <c r="N34" s="252"/>
    </row>
    <row r="35" spans="1:14" ht="21.75" customHeight="1">
      <c r="A35" s="471"/>
      <c r="B35" s="497"/>
      <c r="C35" s="39"/>
      <c r="D35" s="20"/>
      <c r="E35" s="12"/>
      <c r="F35" s="40">
        <f t="shared" si="2"/>
        <v>0</v>
      </c>
      <c r="G35" s="35"/>
      <c r="H35" s="12"/>
      <c r="I35" s="206">
        <f t="shared" si="3"/>
        <v>0</v>
      </c>
      <c r="J35" s="252"/>
      <c r="K35" s="252"/>
      <c r="L35" s="252"/>
      <c r="M35" s="252"/>
      <c r="N35" s="252"/>
    </row>
    <row r="36" spans="1:14" ht="21.75" customHeight="1">
      <c r="A36" s="471"/>
      <c r="B36" s="497"/>
      <c r="C36" s="41"/>
      <c r="D36" s="21"/>
      <c r="E36" s="13"/>
      <c r="F36" s="42">
        <f t="shared" si="2"/>
        <v>0</v>
      </c>
      <c r="G36" s="36"/>
      <c r="H36" s="13"/>
      <c r="I36" s="265">
        <f t="shared" si="3"/>
        <v>0</v>
      </c>
      <c r="J36" s="252"/>
      <c r="K36" s="252"/>
      <c r="L36" s="252"/>
      <c r="M36" s="252"/>
      <c r="N36" s="252"/>
    </row>
    <row r="37" spans="1:14" ht="15.75" customHeight="1" thickBot="1">
      <c r="A37" s="23"/>
      <c r="B37" s="24"/>
      <c r="C37" s="473" t="s">
        <v>122</v>
      </c>
      <c r="D37" s="474"/>
      <c r="E37" s="475"/>
      <c r="F37" s="266">
        <f>SUM(F24:F36)</f>
        <v>0</v>
      </c>
      <c r="G37" s="501" t="s">
        <v>123</v>
      </c>
      <c r="H37" s="502"/>
      <c r="I37" s="266">
        <f>SUM(I24:I36)</f>
        <v>0</v>
      </c>
      <c r="J37" s="252"/>
      <c r="K37" s="252"/>
      <c r="L37" s="252"/>
      <c r="M37" s="252"/>
      <c r="N37" s="252"/>
    </row>
    <row r="38" spans="1:14" ht="20.149999999999999" customHeight="1" thickBot="1">
      <c r="A38" s="469" t="s">
        <v>124</v>
      </c>
      <c r="B38" s="470"/>
      <c r="C38" s="470"/>
      <c r="D38" s="470"/>
      <c r="E38" s="470"/>
      <c r="F38" s="470"/>
      <c r="G38" s="470"/>
      <c r="H38" s="470"/>
      <c r="I38" s="267">
        <f>SUM(I37,F37)</f>
        <v>0</v>
      </c>
      <c r="J38" s="252"/>
      <c r="K38" s="252"/>
      <c r="L38" s="252"/>
      <c r="M38" s="252"/>
      <c r="N38" s="252"/>
    </row>
    <row r="39" spans="1:14" ht="15.75" customHeight="1">
      <c r="A39" s="252"/>
      <c r="B39" s="252"/>
      <c r="C39" s="252"/>
      <c r="D39" s="252"/>
      <c r="E39" s="257"/>
      <c r="F39" s="252"/>
      <c r="G39" s="252"/>
      <c r="H39" s="252"/>
      <c r="I39" s="252"/>
      <c r="J39" s="252"/>
      <c r="K39" s="252"/>
      <c r="L39" s="252"/>
      <c r="M39" s="252"/>
      <c r="N39" s="252"/>
    </row>
    <row r="40" spans="1:14" ht="15.75" customHeight="1">
      <c r="A40" s="252"/>
      <c r="B40" s="252"/>
      <c r="C40" s="252"/>
      <c r="D40" s="252"/>
      <c r="E40" s="257"/>
      <c r="F40" s="252"/>
      <c r="G40" s="252"/>
      <c r="H40" s="252"/>
      <c r="I40" s="252"/>
      <c r="J40" s="252"/>
      <c r="K40" s="252"/>
      <c r="L40" s="252"/>
      <c r="M40" s="252"/>
      <c r="N40" s="252"/>
    </row>
    <row r="41" spans="1:14" ht="15.75" customHeight="1">
      <c r="A41" s="252"/>
      <c r="B41" s="252"/>
      <c r="C41" s="252"/>
      <c r="D41" s="252"/>
      <c r="E41" s="257"/>
      <c r="F41" s="252"/>
      <c r="G41" s="252"/>
      <c r="H41" s="252"/>
      <c r="I41" s="252"/>
      <c r="J41" s="252"/>
      <c r="K41" s="252"/>
      <c r="L41" s="252"/>
      <c r="M41" s="252"/>
      <c r="N41" s="252"/>
    </row>
    <row r="42" spans="1:14" ht="15.75" customHeight="1">
      <c r="A42" s="252"/>
      <c r="B42" s="252"/>
      <c r="C42" s="252"/>
      <c r="D42" s="252"/>
      <c r="E42" s="257"/>
      <c r="F42" s="252"/>
      <c r="G42" s="252"/>
      <c r="H42" s="252"/>
      <c r="I42" s="252"/>
      <c r="J42" s="252"/>
      <c r="K42" s="252"/>
      <c r="L42" s="252"/>
      <c r="M42" s="252"/>
      <c r="N42" s="252"/>
    </row>
    <row r="43" spans="1:14" ht="15.75" customHeight="1">
      <c r="A43" s="252"/>
      <c r="B43" s="252"/>
      <c r="C43" s="252"/>
      <c r="D43" s="252"/>
      <c r="E43" s="257"/>
      <c r="F43" s="252"/>
      <c r="G43" s="252"/>
      <c r="H43" s="252"/>
      <c r="I43" s="252"/>
      <c r="J43" s="252"/>
      <c r="K43" s="252"/>
      <c r="L43" s="252"/>
      <c r="M43" s="252"/>
      <c r="N43" s="252"/>
    </row>
    <row r="44" spans="1:14" ht="15.75" customHeight="1">
      <c r="A44" s="252"/>
      <c r="B44" s="252"/>
      <c r="C44" s="252"/>
      <c r="D44" s="252"/>
      <c r="E44" s="257"/>
      <c r="F44" s="252"/>
      <c r="G44" s="252"/>
      <c r="H44" s="252"/>
      <c r="I44" s="252"/>
      <c r="J44" s="252"/>
      <c r="K44" s="252"/>
      <c r="L44" s="252"/>
      <c r="M44" s="252"/>
      <c r="N44" s="252"/>
    </row>
    <row r="45" spans="1:14" ht="15.75" customHeight="1">
      <c r="A45" s="252"/>
      <c r="B45" s="252"/>
      <c r="C45" s="252"/>
      <c r="D45" s="252"/>
      <c r="E45" s="257"/>
      <c r="F45" s="252"/>
      <c r="G45" s="252"/>
      <c r="H45" s="252"/>
      <c r="I45" s="252"/>
      <c r="J45" s="252"/>
      <c r="K45" s="252"/>
      <c r="L45" s="252"/>
      <c r="M45" s="252"/>
      <c r="N45" s="252"/>
    </row>
    <row r="46" spans="1:14" ht="15.75" customHeight="1">
      <c r="A46" s="252"/>
      <c r="B46" s="252"/>
      <c r="C46" s="252"/>
      <c r="D46" s="252"/>
      <c r="E46" s="257"/>
      <c r="F46" s="252"/>
      <c r="G46" s="252"/>
      <c r="H46" s="252"/>
      <c r="I46" s="252"/>
      <c r="J46" s="252"/>
      <c r="K46" s="252"/>
      <c r="L46" s="252"/>
      <c r="M46" s="252"/>
      <c r="N46" s="252"/>
    </row>
    <row r="47" spans="1:14" ht="15.75" customHeight="1">
      <c r="A47" s="252"/>
      <c r="B47" s="252"/>
      <c r="C47" s="252"/>
      <c r="D47" s="252"/>
      <c r="E47" s="257"/>
      <c r="F47" s="252"/>
      <c r="G47" s="252"/>
      <c r="H47" s="252"/>
      <c r="I47" s="252"/>
      <c r="J47" s="252"/>
      <c r="K47" s="252"/>
      <c r="L47" s="252"/>
      <c r="M47" s="252"/>
      <c r="N47" s="252"/>
    </row>
    <row r="48" spans="1:14" ht="15.75" customHeight="1">
      <c r="A48" s="252"/>
      <c r="B48" s="252"/>
      <c r="C48" s="252"/>
      <c r="D48" s="252"/>
      <c r="E48" s="257"/>
      <c r="F48" s="252"/>
      <c r="G48" s="252"/>
      <c r="H48" s="252"/>
      <c r="I48" s="252"/>
      <c r="J48" s="252"/>
      <c r="K48" s="252"/>
      <c r="L48" s="252"/>
      <c r="M48" s="252"/>
      <c r="N48" s="252"/>
    </row>
    <row r="49" spans="5:5" ht="15.75" customHeight="1">
      <c r="E49" s="9"/>
    </row>
    <row r="50" spans="5:5" ht="15.75" customHeight="1">
      <c r="E50" s="9"/>
    </row>
    <row r="51" spans="5:5" ht="15.75" customHeight="1">
      <c r="E51" s="9"/>
    </row>
    <row r="52" spans="5:5" ht="15.75" customHeight="1">
      <c r="E52" s="9"/>
    </row>
    <row r="53" spans="5:5" ht="15.75" customHeight="1">
      <c r="E53" s="9"/>
    </row>
    <row r="54" spans="5:5" ht="15.75" customHeight="1">
      <c r="E54" s="9"/>
    </row>
    <row r="55" spans="5:5" ht="15.75" customHeight="1">
      <c r="E55" s="9"/>
    </row>
    <row r="56" spans="5:5" ht="15.75" customHeight="1">
      <c r="E56" s="9"/>
    </row>
    <row r="57" spans="5:5" ht="15.75" customHeight="1">
      <c r="E57" s="9"/>
    </row>
    <row r="58" spans="5:5" ht="15.75" customHeight="1">
      <c r="E58" s="9"/>
    </row>
    <row r="59" spans="5:5" ht="15.75" customHeight="1">
      <c r="E59" s="9"/>
    </row>
    <row r="60" spans="5:5" ht="15.75" customHeight="1">
      <c r="E60" s="9"/>
    </row>
    <row r="61" spans="5:5" ht="15.75" customHeight="1">
      <c r="E61" s="9"/>
    </row>
    <row r="62" spans="5:5" ht="15.75" customHeight="1">
      <c r="E62" s="9"/>
    </row>
    <row r="63" spans="5:5" ht="15.75" customHeight="1">
      <c r="E63" s="9"/>
    </row>
    <row r="64" spans="5: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6:B6"/>
    <mergeCell ref="A1:F2"/>
    <mergeCell ref="A3:I3"/>
    <mergeCell ref="A4:B5"/>
    <mergeCell ref="C4:F4"/>
    <mergeCell ref="G4:I4"/>
    <mergeCell ref="A18:B18"/>
    <mergeCell ref="A7:B7"/>
    <mergeCell ref="A8:B8"/>
    <mergeCell ref="A9:B9"/>
    <mergeCell ref="A10:B10"/>
    <mergeCell ref="A11:B11"/>
    <mergeCell ref="A12:B12"/>
    <mergeCell ref="A13:B13"/>
    <mergeCell ref="A14:B14"/>
    <mergeCell ref="A15:B15"/>
    <mergeCell ref="A16:B16"/>
    <mergeCell ref="A17:B17"/>
    <mergeCell ref="A29:B29"/>
    <mergeCell ref="C19:E19"/>
    <mergeCell ref="G19:H19"/>
    <mergeCell ref="A20:H20"/>
    <mergeCell ref="A21:I21"/>
    <mergeCell ref="A22:B23"/>
    <mergeCell ref="C22:F22"/>
    <mergeCell ref="G22:I22"/>
    <mergeCell ref="A24:B24"/>
    <mergeCell ref="A25:B25"/>
    <mergeCell ref="A26:B26"/>
    <mergeCell ref="A27:B27"/>
    <mergeCell ref="A28:B28"/>
    <mergeCell ref="A36:B36"/>
    <mergeCell ref="C37:E37"/>
    <mergeCell ref="G37:H37"/>
    <mergeCell ref="A38:H38"/>
    <mergeCell ref="A30:B30"/>
    <mergeCell ref="A31:B31"/>
    <mergeCell ref="A32:B32"/>
    <mergeCell ref="A33:B33"/>
    <mergeCell ref="A34:B34"/>
    <mergeCell ref="A35:B35"/>
  </mergeCells>
  <conditionalFormatting sqref="G2:H2">
    <cfRule type="expression" dxfId="10" priority="1" stopIfTrue="1">
      <formula>"MM/DD/YY"</formula>
    </cfRule>
  </conditionalFormatting>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19457" r:id="rId4" name="CommandButton1">
          <controlPr defaultSize="0" autoLine="0" altText="Add A Row Command Button" r:id="rId5">
            <anchor moveWithCells="1">
              <from>
                <xdr:col>9</xdr:col>
                <xdr:colOff>260350</xdr:colOff>
                <xdr:row>17</xdr:row>
                <xdr:rowOff>0</xdr:rowOff>
              </from>
              <to>
                <xdr:col>11</xdr:col>
                <xdr:colOff>387350</xdr:colOff>
                <xdr:row>18</xdr:row>
                <xdr:rowOff>12700</xdr:rowOff>
              </to>
            </anchor>
          </controlPr>
        </control>
      </mc:Choice>
      <mc:Fallback>
        <control shapeId="19457" r:id="rId4" name="CommandButton1"/>
      </mc:Fallback>
    </mc:AlternateContent>
  </control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91A4D-D4FA-4A5E-8F92-D8DB44F3A4DD}">
  <sheetPr codeName="Sheet19">
    <pageSetUpPr fitToPage="1"/>
  </sheetPr>
  <dimension ref="A1:Z1015"/>
  <sheetViews>
    <sheetView topLeftCell="C18" zoomScaleNormal="100" zoomScaleSheetLayoutView="9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187</v>
      </c>
      <c r="B1" s="387"/>
      <c r="C1" s="387"/>
      <c r="D1" s="387"/>
      <c r="E1" s="387"/>
      <c r="F1" s="387"/>
      <c r="G1" s="258" t="s">
        <v>165</v>
      </c>
      <c r="H1" s="259"/>
      <c r="I1" s="162" t="s">
        <v>166</v>
      </c>
      <c r="J1" s="252"/>
      <c r="K1" s="252"/>
      <c r="L1" s="252"/>
      <c r="M1" s="252"/>
      <c r="N1" s="252"/>
      <c r="O1" s="252"/>
      <c r="P1" s="252"/>
    </row>
    <row r="2" spans="1:26" ht="15" customHeight="1" thickBot="1">
      <c r="A2" s="388"/>
      <c r="B2" s="389"/>
      <c r="C2" s="389"/>
      <c r="D2" s="389"/>
      <c r="E2" s="389"/>
      <c r="F2" s="389"/>
      <c r="G2" s="163" t="str">
        <f>IF(INPUT!C3=0,"",INPUT!C3)</f>
        <v>RLP # 36C248-25-R-0110 – EXHIBIT K</v>
      </c>
      <c r="H2" s="163"/>
      <c r="I2" s="164" t="str">
        <f>IF(INPUT!C10=0,"",INPUT!C10)</f>
        <v/>
      </c>
      <c r="J2" s="252"/>
      <c r="K2" s="252"/>
      <c r="L2" s="252"/>
      <c r="M2" s="252"/>
      <c r="N2" s="252"/>
      <c r="O2" s="252"/>
      <c r="P2" s="252"/>
    </row>
    <row r="3" spans="1:26" s="10" customFormat="1" ht="36" customHeight="1" thickBot="1">
      <c r="A3" s="480" t="s">
        <v>188</v>
      </c>
      <c r="B3" s="402"/>
      <c r="C3" s="402"/>
      <c r="D3" s="402"/>
      <c r="E3" s="402"/>
      <c r="F3" s="402"/>
      <c r="G3" s="402"/>
      <c r="H3" s="402"/>
      <c r="I3" s="403"/>
      <c r="J3" s="253"/>
      <c r="K3" s="253"/>
      <c r="L3" s="253"/>
      <c r="M3" s="253"/>
      <c r="N3" s="253"/>
      <c r="O3" s="253"/>
      <c r="P3" s="253"/>
    </row>
    <row r="4" spans="1:26" ht="15.5">
      <c r="A4" s="498" t="s">
        <v>93</v>
      </c>
      <c r="B4" s="499"/>
      <c r="C4" s="390" t="s">
        <v>91</v>
      </c>
      <c r="D4" s="382"/>
      <c r="E4" s="382"/>
      <c r="F4" s="383"/>
      <c r="G4" s="381" t="s">
        <v>92</v>
      </c>
      <c r="H4" s="382"/>
      <c r="I4" s="383"/>
      <c r="J4" s="252"/>
      <c r="K4" s="252"/>
      <c r="L4" s="252"/>
      <c r="M4" s="252"/>
      <c r="N4" s="252"/>
      <c r="O4" s="252"/>
      <c r="P4" s="252"/>
    </row>
    <row r="5" spans="1:26" ht="15.75" customHeight="1" thickBot="1">
      <c r="A5" s="454"/>
      <c r="B5" s="500"/>
      <c r="C5" s="37" t="s">
        <v>129</v>
      </c>
      <c r="D5" s="27" t="s">
        <v>95</v>
      </c>
      <c r="E5" s="28" t="s">
        <v>61</v>
      </c>
      <c r="F5" s="38" t="s">
        <v>79</v>
      </c>
      <c r="G5" s="44" t="s">
        <v>96</v>
      </c>
      <c r="H5" s="30" t="s">
        <v>85</v>
      </c>
      <c r="I5" s="31" t="s">
        <v>79</v>
      </c>
      <c r="J5" s="252"/>
      <c r="K5" s="252"/>
      <c r="L5" s="252"/>
      <c r="M5" s="252"/>
      <c r="N5" s="252"/>
      <c r="O5" s="252"/>
      <c r="P5" s="252"/>
    </row>
    <row r="6" spans="1:26" ht="21.75" customHeight="1">
      <c r="A6" s="476" t="s">
        <v>149</v>
      </c>
      <c r="B6" s="497"/>
      <c r="C6" s="34">
        <v>1</v>
      </c>
      <c r="D6" s="19" t="s">
        <v>148</v>
      </c>
      <c r="E6" s="11">
        <v>0</v>
      </c>
      <c r="F6" s="260">
        <f t="shared" ref="F6:F30" si="0">C6*E6</f>
        <v>0</v>
      </c>
      <c r="G6" s="34">
        <v>1</v>
      </c>
      <c r="H6" s="17">
        <v>0</v>
      </c>
      <c r="I6" s="261">
        <f t="shared" ref="I6:I30" si="1">G6*H6</f>
        <v>0</v>
      </c>
      <c r="J6" s="254"/>
      <c r="K6" s="254"/>
      <c r="L6" s="254"/>
      <c r="M6" s="254"/>
      <c r="N6" s="254"/>
      <c r="O6" s="254"/>
      <c r="P6" s="254"/>
      <c r="Q6" s="6"/>
      <c r="R6" s="6"/>
      <c r="S6" s="6"/>
      <c r="T6" s="6"/>
      <c r="U6" s="6"/>
      <c r="V6" s="6"/>
      <c r="W6" s="6"/>
      <c r="X6" s="6"/>
      <c r="Y6" s="6"/>
      <c r="Z6" s="6"/>
    </row>
    <row r="7" spans="1:26" ht="21.75" customHeight="1">
      <c r="A7" s="487"/>
      <c r="B7" s="495"/>
      <c r="C7" s="34"/>
      <c r="D7" s="19"/>
      <c r="E7" s="11"/>
      <c r="F7" s="260">
        <f>C7*E7</f>
        <v>0</v>
      </c>
      <c r="G7" s="43"/>
      <c r="H7" s="18"/>
      <c r="I7" s="179">
        <f t="shared" si="1"/>
        <v>0</v>
      </c>
      <c r="J7" s="254"/>
      <c r="K7" s="254"/>
      <c r="L7" s="254"/>
      <c r="M7" s="254"/>
      <c r="N7" s="254"/>
      <c r="O7" s="254"/>
      <c r="P7" s="254"/>
      <c r="Q7" s="6"/>
      <c r="R7" s="6"/>
      <c r="S7" s="6"/>
      <c r="T7" s="6"/>
      <c r="U7" s="6"/>
      <c r="V7" s="6"/>
      <c r="W7" s="6"/>
      <c r="X7" s="6"/>
      <c r="Y7" s="6"/>
      <c r="Z7" s="6"/>
    </row>
    <row r="8" spans="1:26" ht="21.75" customHeight="1">
      <c r="A8" s="487"/>
      <c r="B8" s="495"/>
      <c r="C8" s="34"/>
      <c r="D8" s="19"/>
      <c r="E8" s="11"/>
      <c r="F8" s="262">
        <f t="shared" si="0"/>
        <v>0</v>
      </c>
      <c r="G8" s="43"/>
      <c r="H8" s="18"/>
      <c r="I8" s="179">
        <f t="shared" si="1"/>
        <v>0</v>
      </c>
      <c r="J8" s="254"/>
      <c r="K8" s="254"/>
      <c r="L8" s="254"/>
      <c r="M8" s="254"/>
      <c r="N8" s="254"/>
      <c r="O8" s="254"/>
      <c r="P8" s="254"/>
      <c r="Q8" s="6"/>
      <c r="R8" s="6"/>
      <c r="S8" s="6"/>
      <c r="T8" s="6"/>
      <c r="U8" s="6"/>
      <c r="V8" s="6"/>
      <c r="W8" s="6"/>
      <c r="X8" s="6"/>
      <c r="Y8" s="6"/>
      <c r="Z8" s="6"/>
    </row>
    <row r="9" spans="1:26" ht="21.75" customHeight="1">
      <c r="A9" s="487"/>
      <c r="B9" s="495"/>
      <c r="C9" s="34"/>
      <c r="D9" s="19"/>
      <c r="E9" s="11"/>
      <c r="F9" s="262">
        <f t="shared" si="0"/>
        <v>0</v>
      </c>
      <c r="G9" s="43"/>
      <c r="H9" s="18"/>
      <c r="I9" s="179">
        <f t="shared" si="1"/>
        <v>0</v>
      </c>
      <c r="J9" s="254"/>
      <c r="K9" s="254"/>
      <c r="L9" s="254"/>
      <c r="M9" s="254"/>
      <c r="N9" s="254"/>
      <c r="O9" s="254"/>
      <c r="P9" s="254"/>
      <c r="Q9" s="6"/>
      <c r="R9" s="6"/>
      <c r="S9" s="6"/>
      <c r="T9" s="6"/>
      <c r="U9" s="6"/>
      <c r="V9" s="6"/>
      <c r="W9" s="6"/>
      <c r="X9" s="6"/>
      <c r="Y9" s="6"/>
      <c r="Z9" s="6"/>
    </row>
    <row r="10" spans="1:26" ht="21.75" customHeight="1">
      <c r="A10" s="487"/>
      <c r="B10" s="495"/>
      <c r="C10" s="34"/>
      <c r="D10" s="19"/>
      <c r="E10" s="11"/>
      <c r="F10" s="260">
        <f t="shared" si="0"/>
        <v>0</v>
      </c>
      <c r="G10" s="43"/>
      <c r="H10" s="18"/>
      <c r="I10" s="179">
        <f t="shared" si="1"/>
        <v>0</v>
      </c>
      <c r="J10" s="254"/>
      <c r="K10" s="254"/>
      <c r="L10" s="254"/>
      <c r="M10" s="254"/>
      <c r="N10" s="254"/>
      <c r="O10" s="254"/>
      <c r="P10" s="254"/>
      <c r="Q10" s="6"/>
      <c r="R10" s="6"/>
      <c r="S10" s="6"/>
      <c r="T10" s="6"/>
      <c r="U10" s="6"/>
      <c r="V10" s="6"/>
      <c r="W10" s="6"/>
      <c r="X10" s="6"/>
      <c r="Y10" s="6"/>
      <c r="Z10" s="6"/>
    </row>
    <row r="11" spans="1:26" ht="21.75" customHeight="1">
      <c r="A11" s="490"/>
      <c r="B11" s="496"/>
      <c r="C11" s="34"/>
      <c r="D11" s="19"/>
      <c r="E11" s="11"/>
      <c r="F11" s="260">
        <f t="shared" si="0"/>
        <v>0</v>
      </c>
      <c r="G11" s="43"/>
      <c r="H11" s="18"/>
      <c r="I11" s="179">
        <f t="shared" si="1"/>
        <v>0</v>
      </c>
      <c r="J11" s="254"/>
      <c r="K11" s="254"/>
      <c r="L11" s="254"/>
      <c r="M11" s="254"/>
      <c r="N11" s="254"/>
      <c r="O11" s="254"/>
      <c r="P11" s="254"/>
      <c r="Q11" s="6"/>
      <c r="R11" s="6"/>
      <c r="S11" s="6"/>
      <c r="T11" s="6"/>
      <c r="U11" s="6"/>
      <c r="V11" s="6"/>
      <c r="W11" s="6"/>
      <c r="X11" s="6"/>
      <c r="Y11" s="6"/>
      <c r="Z11" s="6"/>
    </row>
    <row r="12" spans="1:26" ht="21.75" customHeight="1">
      <c r="A12" s="487"/>
      <c r="B12" s="495"/>
      <c r="C12" s="34"/>
      <c r="D12" s="19"/>
      <c r="E12" s="11"/>
      <c r="F12" s="260">
        <f t="shared" si="0"/>
        <v>0</v>
      </c>
      <c r="G12" s="43"/>
      <c r="H12" s="18"/>
      <c r="I12" s="179">
        <f t="shared" si="1"/>
        <v>0</v>
      </c>
      <c r="J12" s="254"/>
      <c r="K12" s="254"/>
      <c r="L12" s="254"/>
      <c r="M12" s="254"/>
      <c r="N12" s="254"/>
      <c r="O12" s="254"/>
      <c r="P12" s="254"/>
      <c r="Q12" s="6"/>
      <c r="R12" s="6"/>
      <c r="S12" s="6"/>
      <c r="T12" s="6"/>
      <c r="U12" s="6"/>
      <c r="V12" s="6"/>
      <c r="W12" s="6"/>
      <c r="X12" s="6"/>
      <c r="Y12" s="6"/>
      <c r="Z12" s="6"/>
    </row>
    <row r="13" spans="1:26" ht="21.75" customHeight="1">
      <c r="A13" s="490"/>
      <c r="B13" s="496"/>
      <c r="C13" s="34"/>
      <c r="D13" s="19"/>
      <c r="E13" s="11"/>
      <c r="F13" s="260">
        <f t="shared" si="0"/>
        <v>0</v>
      </c>
      <c r="G13" s="43"/>
      <c r="H13" s="18"/>
      <c r="I13" s="179">
        <f t="shared" si="1"/>
        <v>0</v>
      </c>
      <c r="J13" s="254"/>
      <c r="K13" s="254"/>
      <c r="L13" s="254"/>
      <c r="M13" s="254"/>
      <c r="N13" s="254"/>
      <c r="O13" s="254"/>
      <c r="P13" s="254"/>
      <c r="Q13" s="6"/>
      <c r="R13" s="6"/>
      <c r="S13" s="6"/>
      <c r="T13" s="6"/>
      <c r="U13" s="6"/>
      <c r="V13" s="6"/>
      <c r="W13" s="6"/>
      <c r="X13" s="6"/>
      <c r="Y13" s="6"/>
      <c r="Z13" s="6"/>
    </row>
    <row r="14" spans="1:26" ht="21.75" customHeight="1">
      <c r="A14" s="490"/>
      <c r="B14" s="496"/>
      <c r="C14" s="34"/>
      <c r="D14" s="19"/>
      <c r="E14" s="11"/>
      <c r="F14" s="260">
        <f t="shared" si="0"/>
        <v>0</v>
      </c>
      <c r="G14" s="43"/>
      <c r="H14" s="18"/>
      <c r="I14" s="179">
        <f t="shared" si="1"/>
        <v>0</v>
      </c>
      <c r="J14" s="254"/>
      <c r="K14" s="254"/>
      <c r="L14" s="254"/>
      <c r="M14" s="254"/>
      <c r="N14" s="254"/>
      <c r="O14" s="254"/>
      <c r="P14" s="254"/>
      <c r="Q14" s="6"/>
      <c r="R14" s="6"/>
      <c r="S14" s="6"/>
      <c r="T14" s="6"/>
      <c r="U14" s="6"/>
      <c r="V14" s="6"/>
      <c r="W14" s="6"/>
      <c r="X14" s="6"/>
      <c r="Y14" s="6"/>
      <c r="Z14" s="6"/>
    </row>
    <row r="15" spans="1:26" ht="21.75" customHeight="1">
      <c r="A15" s="490"/>
      <c r="B15" s="496"/>
      <c r="C15" s="34"/>
      <c r="D15" s="19"/>
      <c r="E15" s="11"/>
      <c r="F15" s="260">
        <f t="shared" si="0"/>
        <v>0</v>
      </c>
      <c r="G15" s="43"/>
      <c r="H15" s="18"/>
      <c r="I15" s="179">
        <f t="shared" si="1"/>
        <v>0</v>
      </c>
      <c r="J15" s="254"/>
      <c r="K15" s="254"/>
      <c r="L15" s="254"/>
      <c r="M15" s="254"/>
      <c r="N15" s="254"/>
      <c r="O15" s="254"/>
      <c r="P15" s="254"/>
      <c r="Q15" s="6"/>
      <c r="R15" s="6"/>
      <c r="S15" s="6"/>
      <c r="T15" s="6"/>
      <c r="U15" s="6"/>
      <c r="V15" s="6"/>
      <c r="W15" s="6"/>
      <c r="X15" s="6"/>
      <c r="Y15" s="6"/>
      <c r="Z15" s="6"/>
    </row>
    <row r="16" spans="1:26" ht="21.75" customHeight="1">
      <c r="A16" s="490"/>
      <c r="B16" s="496"/>
      <c r="C16" s="34"/>
      <c r="D16" s="19"/>
      <c r="E16" s="11"/>
      <c r="F16" s="260">
        <f t="shared" si="0"/>
        <v>0</v>
      </c>
      <c r="G16" s="43"/>
      <c r="H16" s="18"/>
      <c r="I16" s="179">
        <f t="shared" si="1"/>
        <v>0</v>
      </c>
      <c r="J16" s="254"/>
      <c r="K16" s="254"/>
      <c r="L16" s="254"/>
      <c r="M16" s="254"/>
      <c r="N16" s="254"/>
      <c r="O16" s="254"/>
      <c r="P16" s="254"/>
      <c r="Q16" s="6"/>
      <c r="R16" s="6"/>
      <c r="S16" s="6"/>
      <c r="T16" s="6"/>
      <c r="U16" s="6"/>
      <c r="V16" s="6"/>
      <c r="W16" s="6"/>
      <c r="X16" s="6"/>
      <c r="Y16" s="6"/>
      <c r="Z16" s="6"/>
    </row>
    <row r="17" spans="1:26" ht="21.75" customHeight="1">
      <c r="A17" s="490"/>
      <c r="B17" s="496"/>
      <c r="C17" s="34"/>
      <c r="D17" s="19"/>
      <c r="E17" s="11"/>
      <c r="F17" s="260">
        <f t="shared" si="0"/>
        <v>0</v>
      </c>
      <c r="G17" s="43"/>
      <c r="H17" s="18"/>
      <c r="I17" s="179">
        <f t="shared" si="1"/>
        <v>0</v>
      </c>
      <c r="J17" s="254"/>
      <c r="K17" s="254"/>
      <c r="L17" s="254"/>
      <c r="M17" s="254"/>
      <c r="N17" s="254"/>
      <c r="O17" s="254"/>
      <c r="P17" s="254"/>
      <c r="Q17" s="6"/>
      <c r="R17" s="6"/>
      <c r="S17" s="6"/>
      <c r="T17" s="6"/>
      <c r="U17" s="6"/>
      <c r="V17" s="6"/>
      <c r="W17" s="6"/>
      <c r="X17" s="6"/>
      <c r="Y17" s="6"/>
      <c r="Z17" s="6"/>
    </row>
    <row r="18" spans="1:26" ht="21.75" customHeight="1">
      <c r="A18" s="490"/>
      <c r="B18" s="496"/>
      <c r="C18" s="34"/>
      <c r="D18" s="19"/>
      <c r="E18" s="11"/>
      <c r="F18" s="260">
        <f t="shared" si="0"/>
        <v>0</v>
      </c>
      <c r="G18" s="43"/>
      <c r="H18" s="18"/>
      <c r="I18" s="179">
        <f t="shared" si="1"/>
        <v>0</v>
      </c>
      <c r="J18" s="254"/>
      <c r="K18" s="254"/>
      <c r="L18" s="254"/>
      <c r="M18" s="254"/>
      <c r="N18" s="254"/>
      <c r="O18" s="254"/>
      <c r="P18" s="254"/>
      <c r="Q18" s="6"/>
      <c r="R18" s="6"/>
      <c r="S18" s="6"/>
      <c r="T18" s="6"/>
      <c r="U18" s="6"/>
      <c r="V18" s="6"/>
      <c r="W18" s="6"/>
      <c r="X18" s="6"/>
      <c r="Y18" s="6"/>
      <c r="Z18" s="6"/>
    </row>
    <row r="19" spans="1:26" ht="21.75" customHeight="1">
      <c r="A19" s="490"/>
      <c r="B19" s="496"/>
      <c r="C19" s="34"/>
      <c r="D19" s="19"/>
      <c r="E19" s="11"/>
      <c r="F19" s="260">
        <f t="shared" si="0"/>
        <v>0</v>
      </c>
      <c r="G19" s="43"/>
      <c r="H19" s="18"/>
      <c r="I19" s="179">
        <f t="shared" si="1"/>
        <v>0</v>
      </c>
      <c r="J19" s="254"/>
      <c r="K19" s="254"/>
      <c r="L19" s="254"/>
      <c r="M19" s="254"/>
      <c r="N19" s="254"/>
      <c r="O19" s="254"/>
      <c r="P19" s="254"/>
      <c r="Q19" s="6"/>
      <c r="R19" s="6"/>
      <c r="S19" s="6"/>
      <c r="T19" s="6"/>
      <c r="U19" s="6"/>
      <c r="V19" s="6"/>
      <c r="W19" s="6"/>
      <c r="X19" s="6"/>
      <c r="Y19" s="6"/>
      <c r="Z19" s="6"/>
    </row>
    <row r="20" spans="1:26" ht="21.75" customHeight="1">
      <c r="A20" s="490"/>
      <c r="B20" s="496"/>
      <c r="C20" s="34"/>
      <c r="D20" s="19"/>
      <c r="E20" s="11"/>
      <c r="F20" s="260">
        <f t="shared" si="0"/>
        <v>0</v>
      </c>
      <c r="G20" s="43"/>
      <c r="H20" s="18"/>
      <c r="I20" s="179">
        <f t="shared" si="1"/>
        <v>0</v>
      </c>
      <c r="J20" s="254"/>
      <c r="K20" s="254"/>
      <c r="L20" s="254"/>
      <c r="M20" s="254"/>
      <c r="N20" s="254"/>
      <c r="O20" s="254"/>
      <c r="P20" s="254"/>
      <c r="Q20" s="6"/>
      <c r="R20" s="6"/>
      <c r="S20" s="6"/>
      <c r="T20" s="6"/>
      <c r="U20" s="6"/>
      <c r="V20" s="6"/>
      <c r="W20" s="6"/>
      <c r="X20" s="6"/>
      <c r="Y20" s="6"/>
      <c r="Z20" s="6"/>
    </row>
    <row r="21" spans="1:26" ht="21.75" customHeight="1">
      <c r="A21" s="490"/>
      <c r="B21" s="496"/>
      <c r="C21" s="34"/>
      <c r="D21" s="19"/>
      <c r="E21" s="11"/>
      <c r="F21" s="260">
        <f t="shared" si="0"/>
        <v>0</v>
      </c>
      <c r="G21" s="43"/>
      <c r="H21" s="18"/>
      <c r="I21" s="179">
        <f t="shared" si="1"/>
        <v>0</v>
      </c>
      <c r="J21" s="254"/>
      <c r="K21" s="254"/>
      <c r="L21" s="254"/>
      <c r="M21" s="254"/>
      <c r="N21" s="254"/>
      <c r="O21" s="254"/>
      <c r="P21" s="254"/>
      <c r="Q21" s="6"/>
      <c r="R21" s="6"/>
      <c r="S21" s="6"/>
      <c r="T21" s="6"/>
      <c r="U21" s="6"/>
      <c r="V21" s="6"/>
      <c r="W21" s="6"/>
      <c r="X21" s="6"/>
      <c r="Y21" s="6"/>
      <c r="Z21" s="6"/>
    </row>
    <row r="22" spans="1:26" ht="21.75" customHeight="1">
      <c r="A22" s="490"/>
      <c r="B22" s="496"/>
      <c r="C22" s="34"/>
      <c r="D22" s="19"/>
      <c r="E22" s="11"/>
      <c r="F22" s="260">
        <f t="shared" si="0"/>
        <v>0</v>
      </c>
      <c r="G22" s="43"/>
      <c r="H22" s="18"/>
      <c r="I22" s="179">
        <f t="shared" si="1"/>
        <v>0</v>
      </c>
      <c r="J22" s="254"/>
      <c r="K22" s="254"/>
      <c r="L22" s="254"/>
      <c r="M22" s="254"/>
      <c r="N22" s="254"/>
      <c r="O22" s="254"/>
      <c r="P22" s="254"/>
      <c r="Q22" s="6"/>
      <c r="R22" s="6"/>
      <c r="S22" s="6"/>
      <c r="T22" s="6"/>
      <c r="U22" s="6"/>
      <c r="V22" s="6"/>
      <c r="W22" s="6"/>
      <c r="X22" s="6"/>
      <c r="Y22" s="6"/>
      <c r="Z22" s="6"/>
    </row>
    <row r="23" spans="1:26" ht="21.75" customHeight="1">
      <c r="A23" s="490"/>
      <c r="B23" s="496"/>
      <c r="C23" s="34"/>
      <c r="D23" s="19"/>
      <c r="E23" s="11"/>
      <c r="F23" s="260">
        <f t="shared" si="0"/>
        <v>0</v>
      </c>
      <c r="G23" s="43"/>
      <c r="H23" s="18"/>
      <c r="I23" s="179">
        <f t="shared" si="1"/>
        <v>0</v>
      </c>
      <c r="J23" s="254"/>
      <c r="K23" s="254"/>
      <c r="L23" s="254"/>
      <c r="M23" s="254"/>
      <c r="N23" s="254"/>
      <c r="O23" s="254"/>
      <c r="P23" s="254"/>
      <c r="Q23" s="6"/>
      <c r="R23" s="6"/>
      <c r="S23" s="6"/>
      <c r="T23" s="6"/>
      <c r="U23" s="6"/>
      <c r="V23" s="6"/>
      <c r="W23" s="6"/>
      <c r="X23" s="6"/>
      <c r="Y23" s="6"/>
      <c r="Z23" s="6"/>
    </row>
    <row r="24" spans="1:26" ht="21.75" customHeight="1">
      <c r="A24" s="487"/>
      <c r="B24" s="495"/>
      <c r="C24" s="34"/>
      <c r="D24" s="19"/>
      <c r="E24" s="11"/>
      <c r="F24" s="260">
        <f t="shared" si="0"/>
        <v>0</v>
      </c>
      <c r="G24" s="43"/>
      <c r="H24" s="18"/>
      <c r="I24" s="179">
        <f t="shared" si="1"/>
        <v>0</v>
      </c>
      <c r="J24" s="254"/>
      <c r="K24" s="254"/>
      <c r="L24" s="254"/>
      <c r="M24" s="254"/>
      <c r="N24" s="254"/>
      <c r="O24" s="254"/>
      <c r="P24" s="254"/>
      <c r="Q24" s="6"/>
      <c r="R24" s="6"/>
      <c r="S24" s="6"/>
      <c r="T24" s="6"/>
      <c r="U24" s="6"/>
      <c r="V24" s="6"/>
      <c r="W24" s="6"/>
      <c r="X24" s="6"/>
      <c r="Y24" s="6"/>
      <c r="Z24" s="6"/>
    </row>
    <row r="25" spans="1:26" ht="21.75" customHeight="1">
      <c r="A25" s="487"/>
      <c r="B25" s="495"/>
      <c r="C25" s="34"/>
      <c r="D25" s="19"/>
      <c r="E25" s="11"/>
      <c r="F25" s="260">
        <f t="shared" si="0"/>
        <v>0</v>
      </c>
      <c r="G25" s="43"/>
      <c r="H25" s="18"/>
      <c r="I25" s="179">
        <f t="shared" si="1"/>
        <v>0</v>
      </c>
      <c r="J25" s="254"/>
      <c r="K25" s="254"/>
      <c r="L25" s="254"/>
      <c r="M25" s="254"/>
      <c r="N25" s="254"/>
      <c r="O25" s="254"/>
      <c r="P25" s="254"/>
      <c r="Q25" s="6"/>
      <c r="R25" s="6"/>
      <c r="S25" s="6"/>
      <c r="T25" s="6"/>
      <c r="U25" s="6"/>
      <c r="V25" s="6"/>
      <c r="W25" s="6"/>
      <c r="X25" s="6"/>
      <c r="Y25" s="6"/>
      <c r="Z25" s="6"/>
    </row>
    <row r="26" spans="1:26" ht="21.75" customHeight="1">
      <c r="A26" s="487"/>
      <c r="B26" s="495"/>
      <c r="C26" s="34"/>
      <c r="D26" s="19"/>
      <c r="E26" s="11"/>
      <c r="F26" s="260">
        <f t="shared" si="0"/>
        <v>0</v>
      </c>
      <c r="G26" s="43"/>
      <c r="H26" s="18"/>
      <c r="I26" s="179">
        <f t="shared" si="1"/>
        <v>0</v>
      </c>
      <c r="J26" s="254"/>
      <c r="K26" s="254"/>
      <c r="L26" s="254"/>
      <c r="M26" s="254"/>
      <c r="N26" s="254"/>
      <c r="O26" s="254"/>
      <c r="P26" s="254"/>
      <c r="Q26" s="6"/>
      <c r="R26" s="6"/>
      <c r="S26" s="6"/>
      <c r="T26" s="6"/>
      <c r="U26" s="6"/>
      <c r="V26" s="6"/>
      <c r="W26" s="6"/>
      <c r="X26" s="6"/>
      <c r="Y26" s="6"/>
      <c r="Z26" s="6"/>
    </row>
    <row r="27" spans="1:26" ht="21.75" customHeight="1">
      <c r="A27" s="487"/>
      <c r="B27" s="495"/>
      <c r="C27" s="34"/>
      <c r="D27" s="19"/>
      <c r="E27" s="11"/>
      <c r="F27" s="260">
        <f t="shared" si="0"/>
        <v>0</v>
      </c>
      <c r="G27" s="43"/>
      <c r="H27" s="18"/>
      <c r="I27" s="179">
        <f t="shared" si="1"/>
        <v>0</v>
      </c>
      <c r="J27" s="254"/>
      <c r="K27" s="254"/>
      <c r="L27" s="254"/>
      <c r="M27" s="254"/>
      <c r="N27" s="254"/>
      <c r="O27" s="254"/>
      <c r="P27" s="254"/>
      <c r="Q27" s="6"/>
      <c r="R27" s="6"/>
      <c r="S27" s="6"/>
      <c r="T27" s="6"/>
      <c r="U27" s="6"/>
      <c r="V27" s="6"/>
      <c r="W27" s="6"/>
      <c r="X27" s="6"/>
      <c r="Y27" s="6"/>
      <c r="Z27" s="6"/>
    </row>
    <row r="28" spans="1:26" ht="21.75" customHeight="1">
      <c r="A28" s="487"/>
      <c r="B28" s="495"/>
      <c r="C28" s="34"/>
      <c r="D28" s="19"/>
      <c r="E28" s="11"/>
      <c r="F28" s="260">
        <f t="shared" si="0"/>
        <v>0</v>
      </c>
      <c r="G28" s="43"/>
      <c r="H28" s="18"/>
      <c r="I28" s="179">
        <f t="shared" si="1"/>
        <v>0</v>
      </c>
      <c r="J28" s="254"/>
      <c r="K28" s="254"/>
      <c r="L28" s="254"/>
      <c r="M28" s="254"/>
      <c r="N28" s="254"/>
      <c r="O28" s="254"/>
      <c r="P28" s="254"/>
      <c r="Q28" s="6"/>
      <c r="R28" s="6"/>
      <c r="S28" s="6"/>
      <c r="T28" s="6"/>
      <c r="U28" s="6"/>
      <c r="V28" s="6"/>
      <c r="W28" s="6"/>
      <c r="X28" s="6"/>
      <c r="Y28" s="6"/>
      <c r="Z28" s="6"/>
    </row>
    <row r="29" spans="1:26" ht="21.75" customHeight="1">
      <c r="A29" s="487"/>
      <c r="B29" s="495"/>
      <c r="C29" s="34"/>
      <c r="D29" s="19"/>
      <c r="E29" s="11"/>
      <c r="F29" s="260">
        <f t="shared" si="0"/>
        <v>0</v>
      </c>
      <c r="G29" s="43"/>
      <c r="H29" s="18"/>
      <c r="I29" s="179">
        <f t="shared" si="1"/>
        <v>0</v>
      </c>
      <c r="J29" s="254"/>
      <c r="K29" s="254"/>
      <c r="L29" s="254"/>
      <c r="M29" s="254"/>
      <c r="N29" s="254"/>
      <c r="O29" s="254"/>
      <c r="P29" s="254"/>
      <c r="Q29" s="6"/>
      <c r="R29" s="6"/>
      <c r="S29" s="6"/>
      <c r="T29" s="6"/>
      <c r="U29" s="6"/>
      <c r="V29" s="6"/>
      <c r="W29" s="6"/>
      <c r="X29" s="6"/>
      <c r="Y29" s="6"/>
      <c r="Z29" s="6"/>
    </row>
    <row r="30" spans="1:26" ht="21.75" customHeight="1">
      <c r="A30" s="487"/>
      <c r="B30" s="495"/>
      <c r="C30" s="34"/>
      <c r="D30" s="19"/>
      <c r="E30" s="11"/>
      <c r="F30" s="263">
        <f t="shared" si="0"/>
        <v>0</v>
      </c>
      <c r="G30" s="34"/>
      <c r="H30" s="22"/>
      <c r="I30" s="182">
        <f t="shared" si="1"/>
        <v>0</v>
      </c>
      <c r="J30" s="254"/>
      <c r="K30" s="254"/>
      <c r="L30" s="254"/>
      <c r="M30" s="254"/>
      <c r="N30" s="254"/>
      <c r="O30" s="254"/>
      <c r="P30" s="254"/>
      <c r="Q30" s="6"/>
      <c r="R30" s="6"/>
      <c r="S30" s="6"/>
      <c r="T30" s="6"/>
      <c r="U30" s="6"/>
      <c r="V30" s="6"/>
      <c r="W30" s="6"/>
      <c r="X30" s="6"/>
      <c r="Y30" s="6"/>
      <c r="Z30" s="6"/>
    </row>
    <row r="31" spans="1:26" ht="15.75" customHeight="1" thickBot="1">
      <c r="A31" s="23"/>
      <c r="B31" s="24"/>
      <c r="C31" s="467" t="s">
        <v>122</v>
      </c>
      <c r="D31" s="468"/>
      <c r="E31" s="468"/>
      <c r="F31" s="25">
        <f>SUM(F6:F30)</f>
        <v>0</v>
      </c>
      <c r="G31" s="467" t="s">
        <v>123</v>
      </c>
      <c r="H31" s="468"/>
      <c r="I31" s="25">
        <f>SUM(I6:I30)</f>
        <v>0</v>
      </c>
      <c r="J31" s="255"/>
      <c r="K31" s="255"/>
      <c r="L31" s="255"/>
      <c r="M31" s="255"/>
      <c r="N31" s="255"/>
      <c r="O31" s="255"/>
      <c r="P31" s="255"/>
      <c r="Q31" s="7"/>
      <c r="R31" s="7"/>
      <c r="S31" s="7"/>
      <c r="T31" s="7"/>
      <c r="U31" s="7"/>
      <c r="V31" s="7"/>
      <c r="W31" s="7"/>
      <c r="X31" s="7"/>
      <c r="Y31" s="7"/>
      <c r="Z31" s="7"/>
    </row>
    <row r="32" spans="1:26" ht="19.5" customHeight="1" thickBot="1">
      <c r="A32" s="469" t="s">
        <v>125</v>
      </c>
      <c r="B32" s="470"/>
      <c r="C32" s="470"/>
      <c r="D32" s="470"/>
      <c r="E32" s="470"/>
      <c r="F32" s="470"/>
      <c r="G32" s="470"/>
      <c r="H32" s="470"/>
      <c r="I32" s="26">
        <f>SUM(I31,F31)</f>
        <v>0</v>
      </c>
      <c r="J32" s="255"/>
      <c r="K32" s="255"/>
      <c r="L32" s="255"/>
      <c r="M32" s="255"/>
      <c r="N32" s="255"/>
      <c r="O32" s="255"/>
      <c r="P32" s="255"/>
      <c r="Q32" s="7"/>
      <c r="R32" s="7"/>
      <c r="S32" s="7"/>
      <c r="T32" s="7"/>
      <c r="U32" s="7"/>
      <c r="V32" s="7"/>
      <c r="W32" s="7"/>
      <c r="X32" s="7"/>
      <c r="Y32" s="7"/>
      <c r="Z32" s="7"/>
    </row>
    <row r="33" spans="1:26" ht="36" customHeight="1" thickBot="1">
      <c r="A33" s="477" t="s">
        <v>189</v>
      </c>
      <c r="B33" s="478"/>
      <c r="C33" s="478"/>
      <c r="D33" s="478"/>
      <c r="E33" s="478"/>
      <c r="F33" s="478"/>
      <c r="G33" s="478"/>
      <c r="H33" s="478"/>
      <c r="I33" s="479"/>
      <c r="J33" s="255"/>
      <c r="K33" s="255"/>
      <c r="L33" s="255"/>
      <c r="M33" s="255"/>
      <c r="N33" s="255"/>
      <c r="O33" s="255"/>
      <c r="P33" s="255"/>
      <c r="Q33" s="7"/>
      <c r="R33" s="7"/>
      <c r="S33" s="7"/>
      <c r="T33" s="7"/>
      <c r="U33" s="7"/>
      <c r="V33" s="7"/>
      <c r="W33" s="7"/>
      <c r="X33" s="7"/>
      <c r="Y33" s="7"/>
      <c r="Z33" s="7"/>
    </row>
    <row r="34" spans="1:26" ht="15.5">
      <c r="A34" s="452" t="s">
        <v>93</v>
      </c>
      <c r="B34" s="453"/>
      <c r="C34" s="390" t="s">
        <v>91</v>
      </c>
      <c r="D34" s="382"/>
      <c r="E34" s="382"/>
      <c r="F34" s="383"/>
      <c r="G34" s="381" t="s">
        <v>92</v>
      </c>
      <c r="H34" s="382"/>
      <c r="I34" s="383"/>
      <c r="J34" s="256"/>
      <c r="K34" s="256"/>
      <c r="L34" s="256"/>
      <c r="M34" s="256"/>
      <c r="N34" s="256"/>
      <c r="O34" s="256"/>
      <c r="P34" s="256"/>
      <c r="Q34" s="8"/>
      <c r="R34" s="8"/>
      <c r="S34" s="8"/>
      <c r="T34" s="8"/>
      <c r="U34" s="8"/>
      <c r="V34" s="8"/>
      <c r="W34" s="8"/>
      <c r="X34" s="8"/>
      <c r="Y34" s="8"/>
      <c r="Z34" s="8"/>
    </row>
    <row r="35" spans="1:26" ht="15.75" customHeight="1" thickBot="1">
      <c r="A35" s="454"/>
      <c r="B35" s="455"/>
      <c r="C35" s="37" t="s">
        <v>129</v>
      </c>
      <c r="D35" s="27" t="s">
        <v>95</v>
      </c>
      <c r="E35" s="28" t="s">
        <v>61</v>
      </c>
      <c r="F35" s="38" t="s">
        <v>79</v>
      </c>
      <c r="G35" s="44" t="s">
        <v>96</v>
      </c>
      <c r="H35" s="30" t="s">
        <v>85</v>
      </c>
      <c r="I35" s="31" t="s">
        <v>79</v>
      </c>
      <c r="J35" s="256"/>
      <c r="K35" s="256"/>
      <c r="L35" s="256"/>
      <c r="M35" s="256"/>
      <c r="N35" s="256"/>
      <c r="O35" s="256"/>
      <c r="P35" s="256"/>
      <c r="Q35" s="8"/>
      <c r="R35" s="8"/>
      <c r="S35" s="8"/>
      <c r="T35" s="8"/>
      <c r="U35" s="8"/>
      <c r="V35" s="8"/>
      <c r="W35" s="8"/>
      <c r="X35" s="8"/>
      <c r="Y35" s="8"/>
      <c r="Z35" s="8"/>
    </row>
    <row r="36" spans="1:26" ht="21.75" customHeight="1">
      <c r="A36" s="489"/>
      <c r="B36" s="488"/>
      <c r="C36" s="39">
        <v>1</v>
      </c>
      <c r="D36" s="20"/>
      <c r="E36" s="12">
        <v>0</v>
      </c>
      <c r="F36" s="40">
        <f t="shared" ref="F36:F48" si="2">C36*E36</f>
        <v>0</v>
      </c>
      <c r="G36" s="45">
        <v>1</v>
      </c>
      <c r="H36" s="12">
        <v>0</v>
      </c>
      <c r="I36" s="264">
        <f>G36*H36</f>
        <v>0</v>
      </c>
      <c r="J36" s="252"/>
      <c r="K36" s="252"/>
      <c r="L36" s="252"/>
      <c r="M36" s="252"/>
      <c r="N36" s="252"/>
      <c r="O36" s="252"/>
      <c r="P36" s="252"/>
    </row>
    <row r="37" spans="1:26" ht="21.75" customHeight="1">
      <c r="A37" s="489"/>
      <c r="B37" s="488"/>
      <c r="C37" s="39"/>
      <c r="D37" s="20"/>
      <c r="E37" s="12"/>
      <c r="F37" s="40">
        <f t="shared" si="2"/>
        <v>0</v>
      </c>
      <c r="G37" s="45"/>
      <c r="H37" s="12"/>
      <c r="I37" s="206">
        <f t="shared" ref="I37:I48" si="3">G37*H37</f>
        <v>0</v>
      </c>
      <c r="J37" s="252"/>
      <c r="K37" s="252"/>
      <c r="L37" s="252"/>
      <c r="M37" s="252"/>
      <c r="N37" s="252"/>
      <c r="O37" s="252"/>
      <c r="P37" s="252"/>
    </row>
    <row r="38" spans="1:26" ht="21.75" customHeight="1">
      <c r="A38" s="489"/>
      <c r="B38" s="488"/>
      <c r="C38" s="39"/>
      <c r="D38" s="20"/>
      <c r="E38" s="12"/>
      <c r="F38" s="40">
        <f t="shared" si="2"/>
        <v>0</v>
      </c>
      <c r="G38" s="45"/>
      <c r="H38" s="12"/>
      <c r="I38" s="206">
        <f t="shared" si="3"/>
        <v>0</v>
      </c>
      <c r="J38" s="252"/>
      <c r="K38" s="252"/>
      <c r="L38" s="252"/>
      <c r="M38" s="252"/>
      <c r="N38" s="252"/>
      <c r="O38" s="252"/>
      <c r="P38" s="252"/>
    </row>
    <row r="39" spans="1:26" ht="21.75" customHeight="1">
      <c r="A39" s="489"/>
      <c r="B39" s="488"/>
      <c r="C39" s="39"/>
      <c r="D39" s="20"/>
      <c r="E39" s="12"/>
      <c r="F39" s="40">
        <f t="shared" si="2"/>
        <v>0</v>
      </c>
      <c r="G39" s="45"/>
      <c r="H39" s="12"/>
      <c r="I39" s="206">
        <f t="shared" si="3"/>
        <v>0</v>
      </c>
      <c r="J39" s="252"/>
      <c r="K39" s="252"/>
      <c r="L39" s="252"/>
      <c r="M39" s="252"/>
      <c r="N39" s="252"/>
      <c r="O39" s="252"/>
      <c r="P39" s="252"/>
    </row>
    <row r="40" spans="1:26" ht="21.75" customHeight="1">
      <c r="A40" s="489"/>
      <c r="B40" s="488"/>
      <c r="C40" s="39"/>
      <c r="D40" s="20"/>
      <c r="E40" s="12"/>
      <c r="F40" s="40">
        <f t="shared" si="2"/>
        <v>0</v>
      </c>
      <c r="G40" s="45"/>
      <c r="H40" s="12"/>
      <c r="I40" s="206">
        <f t="shared" si="3"/>
        <v>0</v>
      </c>
      <c r="J40" s="252"/>
      <c r="K40" s="252"/>
      <c r="L40" s="252"/>
      <c r="M40" s="252"/>
      <c r="N40" s="252"/>
      <c r="O40" s="252"/>
      <c r="P40" s="252"/>
    </row>
    <row r="41" spans="1:26" ht="21.75" customHeight="1">
      <c r="A41" s="489"/>
      <c r="B41" s="488"/>
      <c r="C41" s="39"/>
      <c r="D41" s="20"/>
      <c r="E41" s="12"/>
      <c r="F41" s="40">
        <f t="shared" si="2"/>
        <v>0</v>
      </c>
      <c r="G41" s="45"/>
      <c r="H41" s="12"/>
      <c r="I41" s="206">
        <f t="shared" si="3"/>
        <v>0</v>
      </c>
      <c r="J41" s="252"/>
      <c r="K41" s="252"/>
      <c r="L41" s="252"/>
      <c r="M41" s="252"/>
      <c r="N41" s="252"/>
      <c r="O41" s="252"/>
      <c r="P41" s="252"/>
    </row>
    <row r="42" spans="1:26" ht="21.75" customHeight="1">
      <c r="A42" s="489"/>
      <c r="B42" s="488"/>
      <c r="C42" s="39"/>
      <c r="D42" s="20"/>
      <c r="E42" s="12"/>
      <c r="F42" s="40">
        <f t="shared" si="2"/>
        <v>0</v>
      </c>
      <c r="G42" s="45"/>
      <c r="H42" s="12"/>
      <c r="I42" s="206">
        <f t="shared" si="3"/>
        <v>0</v>
      </c>
      <c r="J42" s="252"/>
      <c r="K42" s="252"/>
      <c r="L42" s="252"/>
      <c r="M42" s="252"/>
      <c r="N42" s="252"/>
      <c r="O42" s="252"/>
      <c r="P42" s="252"/>
    </row>
    <row r="43" spans="1:26" ht="21.75" customHeight="1">
      <c r="A43" s="489"/>
      <c r="B43" s="488"/>
      <c r="C43" s="39"/>
      <c r="D43" s="20"/>
      <c r="E43" s="12"/>
      <c r="F43" s="40">
        <f t="shared" si="2"/>
        <v>0</v>
      </c>
      <c r="G43" s="45"/>
      <c r="H43" s="12"/>
      <c r="I43" s="206">
        <f t="shared" si="3"/>
        <v>0</v>
      </c>
      <c r="J43" s="252"/>
      <c r="K43" s="252"/>
      <c r="L43" s="252"/>
      <c r="M43" s="252"/>
      <c r="N43" s="252"/>
      <c r="O43" s="252"/>
      <c r="P43" s="252"/>
    </row>
    <row r="44" spans="1:26" ht="21.75" customHeight="1">
      <c r="A44" s="489"/>
      <c r="B44" s="488"/>
      <c r="C44" s="39"/>
      <c r="D44" s="20"/>
      <c r="E44" s="12"/>
      <c r="F44" s="40">
        <f t="shared" si="2"/>
        <v>0</v>
      </c>
      <c r="G44" s="45"/>
      <c r="H44" s="12"/>
      <c r="I44" s="206">
        <f t="shared" si="3"/>
        <v>0</v>
      </c>
      <c r="J44" s="252"/>
      <c r="K44" s="252"/>
      <c r="L44" s="252"/>
      <c r="M44" s="252"/>
      <c r="N44" s="252"/>
      <c r="O44" s="252"/>
      <c r="P44" s="252"/>
    </row>
    <row r="45" spans="1:26" ht="21.75" customHeight="1">
      <c r="A45" s="489"/>
      <c r="B45" s="488"/>
      <c r="C45" s="39"/>
      <c r="D45" s="20"/>
      <c r="E45" s="12"/>
      <c r="F45" s="40">
        <f t="shared" si="2"/>
        <v>0</v>
      </c>
      <c r="G45" s="45"/>
      <c r="H45" s="12"/>
      <c r="I45" s="206">
        <f t="shared" si="3"/>
        <v>0</v>
      </c>
      <c r="J45" s="252"/>
      <c r="K45" s="252"/>
      <c r="L45" s="252"/>
      <c r="M45" s="252"/>
      <c r="N45" s="252"/>
      <c r="O45" s="252"/>
      <c r="P45" s="252"/>
    </row>
    <row r="46" spans="1:26" ht="21.75" customHeight="1">
      <c r="A46" s="489"/>
      <c r="B46" s="488"/>
      <c r="C46" s="39"/>
      <c r="D46" s="20"/>
      <c r="E46" s="12"/>
      <c r="F46" s="40">
        <f t="shared" si="2"/>
        <v>0</v>
      </c>
      <c r="G46" s="45"/>
      <c r="H46" s="12"/>
      <c r="I46" s="206">
        <f t="shared" si="3"/>
        <v>0</v>
      </c>
      <c r="J46" s="252"/>
      <c r="K46" s="252"/>
      <c r="L46" s="252"/>
      <c r="M46" s="252"/>
      <c r="N46" s="252"/>
      <c r="O46" s="252"/>
      <c r="P46" s="252"/>
    </row>
    <row r="47" spans="1:26" ht="21.75" customHeight="1">
      <c r="A47" s="489"/>
      <c r="B47" s="488"/>
      <c r="C47" s="39"/>
      <c r="D47" s="20"/>
      <c r="E47" s="12"/>
      <c r="F47" s="40">
        <f t="shared" si="2"/>
        <v>0</v>
      </c>
      <c r="G47" s="45"/>
      <c r="H47" s="12"/>
      <c r="I47" s="206">
        <f t="shared" si="3"/>
        <v>0</v>
      </c>
      <c r="J47" s="252"/>
      <c r="K47" s="252"/>
      <c r="L47" s="252"/>
      <c r="M47" s="252"/>
      <c r="N47" s="252"/>
      <c r="O47" s="252"/>
      <c r="P47" s="252"/>
    </row>
    <row r="48" spans="1:26" ht="21.75" customHeight="1">
      <c r="A48" s="489"/>
      <c r="B48" s="488"/>
      <c r="C48" s="39"/>
      <c r="D48" s="20"/>
      <c r="E48" s="12"/>
      <c r="F48" s="40">
        <f t="shared" si="2"/>
        <v>0</v>
      </c>
      <c r="G48" s="45"/>
      <c r="H48" s="12"/>
      <c r="I48" s="206">
        <f t="shared" si="3"/>
        <v>0</v>
      </c>
      <c r="J48" s="252"/>
      <c r="K48" s="252"/>
      <c r="L48" s="252"/>
      <c r="M48" s="252"/>
      <c r="N48" s="252"/>
      <c r="O48" s="252"/>
      <c r="P48" s="252"/>
    </row>
    <row r="49" spans="1:16" ht="15.75" customHeight="1" thickBot="1">
      <c r="A49" s="46"/>
      <c r="B49" s="47"/>
      <c r="C49" s="473" t="s">
        <v>122</v>
      </c>
      <c r="D49" s="474"/>
      <c r="E49" s="475"/>
      <c r="F49" s="266">
        <f>SUM(F36:F48)</f>
        <v>0</v>
      </c>
      <c r="G49" s="473" t="s">
        <v>123</v>
      </c>
      <c r="H49" s="475"/>
      <c r="I49" s="266">
        <f>SUM(I36:I48)</f>
        <v>0</v>
      </c>
      <c r="J49" s="252"/>
      <c r="K49" s="252"/>
      <c r="L49" s="252"/>
      <c r="M49" s="252"/>
      <c r="N49" s="252"/>
      <c r="O49" s="252"/>
      <c r="P49" s="252"/>
    </row>
    <row r="50" spans="1:16" ht="20.149999999999999" customHeight="1" thickBot="1">
      <c r="A50" s="469" t="s">
        <v>124</v>
      </c>
      <c r="B50" s="470"/>
      <c r="C50" s="470"/>
      <c r="D50" s="470"/>
      <c r="E50" s="470"/>
      <c r="F50" s="470"/>
      <c r="G50" s="470"/>
      <c r="H50" s="470"/>
      <c r="I50" s="267">
        <f>SUM(I49,F49)</f>
        <v>0</v>
      </c>
      <c r="J50" s="252"/>
      <c r="K50" s="252"/>
      <c r="L50" s="252"/>
      <c r="M50" s="252"/>
      <c r="N50" s="252"/>
      <c r="O50" s="252"/>
      <c r="P50" s="252"/>
    </row>
    <row r="51" spans="1:16" ht="15.75" customHeight="1">
      <c r="A51" s="252"/>
      <c r="B51" s="252"/>
      <c r="C51" s="252"/>
      <c r="D51" s="252"/>
      <c r="E51" s="257"/>
      <c r="F51" s="252"/>
      <c r="G51" s="252"/>
      <c r="H51" s="252"/>
      <c r="I51" s="252"/>
      <c r="J51" s="252"/>
      <c r="K51" s="252"/>
      <c r="L51" s="252"/>
      <c r="M51" s="252"/>
      <c r="N51" s="252"/>
      <c r="O51" s="252"/>
      <c r="P51" s="252"/>
    </row>
    <row r="52" spans="1:16" ht="15.75" customHeight="1">
      <c r="A52" s="252"/>
      <c r="B52" s="252"/>
      <c r="C52" s="252"/>
      <c r="D52" s="252"/>
      <c r="E52" s="257"/>
      <c r="F52" s="252"/>
      <c r="G52" s="252"/>
      <c r="H52" s="252"/>
      <c r="I52" s="252"/>
      <c r="J52" s="252"/>
      <c r="K52" s="252"/>
      <c r="L52" s="252"/>
      <c r="M52" s="252"/>
      <c r="N52" s="252"/>
      <c r="O52" s="252"/>
      <c r="P52" s="252"/>
    </row>
    <row r="53" spans="1:16" ht="15.75" customHeight="1">
      <c r="A53" s="252"/>
      <c r="B53" s="252"/>
      <c r="C53" s="252"/>
      <c r="D53" s="252"/>
      <c r="E53" s="257"/>
      <c r="F53" s="252"/>
      <c r="G53" s="252"/>
      <c r="H53" s="252"/>
      <c r="I53" s="252"/>
      <c r="J53" s="252"/>
      <c r="K53" s="252"/>
      <c r="L53" s="252"/>
      <c r="M53" s="252"/>
      <c r="N53" s="252"/>
      <c r="O53" s="252"/>
      <c r="P53" s="252"/>
    </row>
    <row r="54" spans="1:16" ht="15.75" customHeight="1">
      <c r="A54" s="252"/>
      <c r="B54" s="252"/>
      <c r="C54" s="252"/>
      <c r="D54" s="252"/>
      <c r="E54" s="257"/>
      <c r="F54" s="252"/>
      <c r="G54" s="252"/>
      <c r="H54" s="252"/>
      <c r="I54" s="252"/>
      <c r="J54" s="252"/>
      <c r="K54" s="252"/>
      <c r="L54" s="252"/>
      <c r="M54" s="252"/>
      <c r="N54" s="252"/>
      <c r="O54" s="252"/>
      <c r="P54" s="252"/>
    </row>
    <row r="55" spans="1:16" ht="15.75" customHeight="1">
      <c r="A55" s="252"/>
      <c r="B55" s="252"/>
      <c r="C55" s="252"/>
      <c r="D55" s="252"/>
      <c r="E55" s="257"/>
      <c r="F55" s="252"/>
      <c r="G55" s="252"/>
      <c r="H55" s="252"/>
      <c r="I55" s="252"/>
      <c r="J55" s="252"/>
      <c r="K55" s="252"/>
      <c r="L55" s="252"/>
      <c r="M55" s="252"/>
      <c r="N55" s="252"/>
      <c r="O55" s="252"/>
      <c r="P55" s="252"/>
    </row>
    <row r="56" spans="1:16" ht="15.75" customHeight="1">
      <c r="A56" s="252"/>
      <c r="B56" s="252"/>
      <c r="C56" s="252"/>
      <c r="D56" s="252"/>
      <c r="E56" s="257"/>
      <c r="F56" s="252"/>
      <c r="G56" s="252"/>
      <c r="H56" s="252"/>
      <c r="I56" s="252"/>
      <c r="J56" s="252"/>
      <c r="K56" s="252"/>
      <c r="L56" s="252"/>
      <c r="M56" s="252"/>
      <c r="N56" s="252"/>
      <c r="O56" s="252"/>
      <c r="P56" s="252"/>
    </row>
    <row r="57" spans="1:16" ht="15.75" customHeight="1">
      <c r="A57" s="252"/>
      <c r="B57" s="252"/>
      <c r="C57" s="252"/>
      <c r="D57" s="252"/>
      <c r="E57" s="257"/>
      <c r="F57" s="252"/>
      <c r="G57" s="252"/>
      <c r="H57" s="252"/>
      <c r="I57" s="252"/>
      <c r="J57" s="252"/>
      <c r="K57" s="252"/>
      <c r="L57" s="252"/>
      <c r="M57" s="252"/>
      <c r="N57" s="252"/>
      <c r="O57" s="252"/>
      <c r="P57" s="252"/>
    </row>
    <row r="58" spans="1:16" ht="15.75" customHeight="1">
      <c r="A58" s="252"/>
      <c r="B58" s="252"/>
      <c r="C58" s="252"/>
      <c r="D58" s="252"/>
      <c r="E58" s="257"/>
      <c r="F58" s="252"/>
      <c r="G58" s="252"/>
      <c r="H58" s="252"/>
      <c r="I58" s="252"/>
      <c r="J58" s="252"/>
      <c r="K58" s="252"/>
      <c r="L58" s="252"/>
      <c r="M58" s="252"/>
      <c r="N58" s="252"/>
      <c r="O58" s="252"/>
      <c r="P58" s="252"/>
    </row>
    <row r="59" spans="1:16" ht="15.75" customHeight="1">
      <c r="A59" s="252"/>
      <c r="B59" s="252"/>
      <c r="C59" s="252"/>
      <c r="D59" s="252"/>
      <c r="E59" s="257"/>
      <c r="F59" s="252"/>
      <c r="G59" s="252"/>
      <c r="H59" s="252"/>
      <c r="I59" s="252"/>
      <c r="J59" s="252"/>
      <c r="K59" s="252"/>
      <c r="L59" s="252"/>
      <c r="M59" s="252"/>
      <c r="N59" s="252"/>
      <c r="O59" s="252"/>
      <c r="P59" s="252"/>
    </row>
    <row r="60" spans="1:16" ht="15.75" customHeight="1">
      <c r="A60" s="252"/>
      <c r="B60" s="252"/>
      <c r="C60" s="252"/>
      <c r="D60" s="252"/>
      <c r="E60" s="257"/>
      <c r="F60" s="252"/>
      <c r="G60" s="252"/>
      <c r="H60" s="252"/>
      <c r="I60" s="252"/>
      <c r="J60" s="252"/>
      <c r="K60" s="252"/>
      <c r="L60" s="252"/>
      <c r="M60" s="252"/>
      <c r="N60" s="252"/>
      <c r="O60" s="252"/>
      <c r="P60" s="252"/>
    </row>
    <row r="61" spans="1:16" ht="15.75" customHeight="1">
      <c r="A61" s="252"/>
      <c r="B61" s="252"/>
      <c r="C61" s="252"/>
      <c r="D61" s="252"/>
      <c r="E61" s="257"/>
      <c r="F61" s="252"/>
      <c r="G61" s="252"/>
      <c r="H61" s="252"/>
      <c r="I61" s="252"/>
      <c r="J61" s="252"/>
      <c r="K61" s="252"/>
      <c r="L61" s="252"/>
      <c r="M61" s="252"/>
      <c r="N61" s="252"/>
      <c r="O61" s="252"/>
      <c r="P61" s="252"/>
    </row>
    <row r="62" spans="1:16" ht="15.75" customHeight="1">
      <c r="E62" s="9"/>
    </row>
    <row r="63" spans="1:16" ht="15.75" customHeight="1">
      <c r="E63" s="9"/>
    </row>
    <row r="64" spans="1:16"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row r="1004" spans="5:5" ht="15.75" customHeight="1">
      <c r="E1004" s="9"/>
    </row>
    <row r="1005" spans="5:5" ht="15.75" customHeight="1">
      <c r="E1005" s="9"/>
    </row>
    <row r="1006" spans="5:5" ht="15.75" customHeight="1">
      <c r="E1006" s="9"/>
    </row>
    <row r="1007" spans="5:5" ht="15.75" customHeight="1">
      <c r="E1007" s="9"/>
    </row>
    <row r="1008" spans="5:5" ht="15.75" customHeight="1">
      <c r="E1008" s="9"/>
    </row>
    <row r="1009" spans="5:5" ht="15.75" customHeight="1">
      <c r="E1009" s="9"/>
    </row>
    <row r="1010" spans="5:5" ht="15.75" customHeight="1">
      <c r="E1010" s="9"/>
    </row>
    <row r="1011" spans="5:5" ht="15.75" customHeight="1">
      <c r="E1011" s="9"/>
    </row>
    <row r="1012" spans="5:5" ht="15.75" customHeight="1">
      <c r="E1012" s="9"/>
    </row>
    <row r="1013" spans="5:5" ht="15.75" customHeight="1">
      <c r="E1013" s="9"/>
    </row>
    <row r="1014" spans="5:5" ht="15.75" customHeight="1">
      <c r="E1014" s="9"/>
    </row>
    <row r="1015" spans="5:5" ht="15.75" customHeight="1">
      <c r="E1015" s="9"/>
    </row>
  </sheetData>
  <mergeCells count="53">
    <mergeCell ref="A6:B6"/>
    <mergeCell ref="A1:F2"/>
    <mergeCell ref="A3:I3"/>
    <mergeCell ref="A4:B5"/>
    <mergeCell ref="C4:F4"/>
    <mergeCell ref="G4:I4"/>
    <mergeCell ref="A18:B18"/>
    <mergeCell ref="A7:B7"/>
    <mergeCell ref="A8:B8"/>
    <mergeCell ref="A9:B9"/>
    <mergeCell ref="A10:B10"/>
    <mergeCell ref="A11:B11"/>
    <mergeCell ref="A12:B12"/>
    <mergeCell ref="A13:B13"/>
    <mergeCell ref="A14:B14"/>
    <mergeCell ref="A15:B15"/>
    <mergeCell ref="A16:B16"/>
    <mergeCell ref="A17:B17"/>
    <mergeCell ref="A30:B30"/>
    <mergeCell ref="A19:B19"/>
    <mergeCell ref="A20:B20"/>
    <mergeCell ref="A21:B21"/>
    <mergeCell ref="A22:B22"/>
    <mergeCell ref="A23:B23"/>
    <mergeCell ref="A24:B24"/>
    <mergeCell ref="A25:B25"/>
    <mergeCell ref="A26:B26"/>
    <mergeCell ref="A27:B27"/>
    <mergeCell ref="A28:B28"/>
    <mergeCell ref="A29:B29"/>
    <mergeCell ref="A41:B41"/>
    <mergeCell ref="C31:E31"/>
    <mergeCell ref="G31:H31"/>
    <mergeCell ref="A32:H32"/>
    <mergeCell ref="A33:I33"/>
    <mergeCell ref="A34:B35"/>
    <mergeCell ref="C34:F34"/>
    <mergeCell ref="G34:I34"/>
    <mergeCell ref="A36:B36"/>
    <mergeCell ref="A37:B37"/>
    <mergeCell ref="A38:B38"/>
    <mergeCell ref="A39:B39"/>
    <mergeCell ref="A40:B40"/>
    <mergeCell ref="A48:B48"/>
    <mergeCell ref="C49:E49"/>
    <mergeCell ref="G49:H49"/>
    <mergeCell ref="A50:H50"/>
    <mergeCell ref="A42:B42"/>
    <mergeCell ref="A43:B43"/>
    <mergeCell ref="A44:B44"/>
    <mergeCell ref="A45:B45"/>
    <mergeCell ref="A46:B46"/>
    <mergeCell ref="A47:B47"/>
  </mergeCells>
  <conditionalFormatting sqref="G2:H2">
    <cfRule type="expression" dxfId="9" priority="1" stopIfTrue="1">
      <formula>"MM/DD/YY"</formula>
    </cfRule>
  </conditionalFormatting>
  <printOptions horizontalCentered="1"/>
  <pageMargins left="0.75" right="0.75" top="1" bottom="1" header="0" footer="0"/>
  <pageSetup scale="74" fitToHeight="0" orientation="portrait" r:id="rId1"/>
  <rowBreaks count="1" manualBreakCount="1">
    <brk id="32" max="16383" man="1"/>
  </rowBreaks>
  <drawing r:id="rId2"/>
  <legacyDrawing r:id="rId3"/>
  <controls>
    <mc:AlternateContent xmlns:mc="http://schemas.openxmlformats.org/markup-compatibility/2006">
      <mc:Choice Requires="x14">
        <control shapeId="20481" r:id="rId4" name="CommandButton1">
          <controlPr defaultSize="0" autoLine="0" altText="Add A Row Command Button" r:id="rId5">
            <anchor moveWithCells="1">
              <from>
                <xdr:col>9</xdr:col>
                <xdr:colOff>285750</xdr:colOff>
                <xdr:row>29</xdr:row>
                <xdr:rowOff>12700</xdr:rowOff>
              </from>
              <to>
                <xdr:col>11</xdr:col>
                <xdr:colOff>412750</xdr:colOff>
                <xdr:row>30</xdr:row>
                <xdr:rowOff>25400</xdr:rowOff>
              </to>
            </anchor>
          </controlPr>
        </control>
      </mc:Choice>
      <mc:Fallback>
        <control shapeId="20481" r:id="rId4" name="CommandButton1"/>
      </mc:Fallback>
    </mc:AlternateContent>
  </control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77BD5-C7E0-48D5-AF77-88E2250E6823}">
  <sheetPr codeName="Sheet20">
    <pageSetUpPr fitToPage="1"/>
  </sheetPr>
  <dimension ref="A1:Z1015"/>
  <sheetViews>
    <sheetView topLeftCell="C18" zoomScaleNormal="100" zoomScaleSheetLayoutView="9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512" t="s">
        <v>190</v>
      </c>
      <c r="B1" s="513"/>
      <c r="C1" s="513"/>
      <c r="D1" s="513"/>
      <c r="E1" s="513"/>
      <c r="F1" s="513"/>
      <c r="G1" s="258" t="s">
        <v>165</v>
      </c>
      <c r="H1" s="259"/>
      <c r="I1" s="162" t="s">
        <v>166</v>
      </c>
      <c r="J1" s="252"/>
      <c r="K1" s="252"/>
      <c r="L1" s="252"/>
      <c r="M1" s="252"/>
      <c r="N1" s="252"/>
      <c r="O1" s="252"/>
    </row>
    <row r="2" spans="1:26" ht="15" customHeight="1" thickBot="1">
      <c r="A2" s="514"/>
      <c r="B2" s="515"/>
      <c r="C2" s="515"/>
      <c r="D2" s="515"/>
      <c r="E2" s="515"/>
      <c r="F2" s="515"/>
      <c r="G2" s="163" t="str">
        <f>IF(INPUT!C3=0,"",INPUT!C3)</f>
        <v>RLP # 36C248-25-R-0110 – EXHIBIT K</v>
      </c>
      <c r="H2" s="163"/>
      <c r="I2" s="164" t="str">
        <f>IF(INPUT!C10=0,"",INPUT!C10)</f>
        <v/>
      </c>
      <c r="J2" s="252"/>
      <c r="K2" s="252"/>
      <c r="L2" s="252"/>
      <c r="M2" s="252"/>
      <c r="N2" s="252"/>
      <c r="O2" s="252"/>
    </row>
    <row r="3" spans="1:26" s="10" customFormat="1" ht="36" customHeight="1" thickBot="1">
      <c r="A3" s="480" t="s">
        <v>191</v>
      </c>
      <c r="B3" s="402"/>
      <c r="C3" s="402"/>
      <c r="D3" s="402"/>
      <c r="E3" s="402"/>
      <c r="F3" s="402"/>
      <c r="G3" s="402"/>
      <c r="H3" s="402"/>
      <c r="I3" s="403"/>
      <c r="J3" s="253"/>
      <c r="K3" s="253"/>
      <c r="L3" s="253"/>
      <c r="M3" s="253"/>
      <c r="N3" s="253"/>
      <c r="O3" s="253"/>
    </row>
    <row r="4" spans="1:26" ht="15.5">
      <c r="A4" s="498" t="s">
        <v>93</v>
      </c>
      <c r="B4" s="499"/>
      <c r="C4" s="390" t="s">
        <v>91</v>
      </c>
      <c r="D4" s="382"/>
      <c r="E4" s="382"/>
      <c r="F4" s="383"/>
      <c r="G4" s="381" t="s">
        <v>92</v>
      </c>
      <c r="H4" s="382"/>
      <c r="I4" s="383"/>
      <c r="J4" s="252"/>
      <c r="K4" s="252"/>
      <c r="L4" s="252"/>
      <c r="M4" s="252"/>
      <c r="N4" s="252"/>
      <c r="O4" s="252"/>
    </row>
    <row r="5" spans="1:26" ht="15.75" customHeight="1" thickBot="1">
      <c r="A5" s="454"/>
      <c r="B5" s="500"/>
      <c r="C5" s="37" t="s">
        <v>129</v>
      </c>
      <c r="D5" s="27" t="s">
        <v>95</v>
      </c>
      <c r="E5" s="28" t="s">
        <v>61</v>
      </c>
      <c r="F5" s="38" t="s">
        <v>79</v>
      </c>
      <c r="G5" s="44" t="s">
        <v>96</v>
      </c>
      <c r="H5" s="30" t="s">
        <v>85</v>
      </c>
      <c r="I5" s="31" t="s">
        <v>79</v>
      </c>
      <c r="J5" s="252"/>
      <c r="K5" s="252"/>
      <c r="L5" s="252"/>
      <c r="M5" s="252"/>
      <c r="N5" s="252"/>
      <c r="O5" s="252"/>
    </row>
    <row r="6" spans="1:26" ht="21.75" customHeight="1">
      <c r="A6" s="476" t="s">
        <v>149</v>
      </c>
      <c r="B6" s="497"/>
      <c r="C6" s="34">
        <v>1</v>
      </c>
      <c r="D6" s="19" t="s">
        <v>148</v>
      </c>
      <c r="E6" s="11">
        <v>0</v>
      </c>
      <c r="F6" s="260">
        <f t="shared" ref="F6:F30" si="0">C6*E6</f>
        <v>0</v>
      </c>
      <c r="G6" s="34">
        <v>1</v>
      </c>
      <c r="H6" s="17">
        <v>0</v>
      </c>
      <c r="I6" s="261">
        <f t="shared" ref="I6:I30" si="1">G6*H6</f>
        <v>0</v>
      </c>
      <c r="J6" s="254"/>
      <c r="K6" s="254"/>
      <c r="L6" s="254"/>
      <c r="M6" s="254"/>
      <c r="N6" s="254"/>
      <c r="O6" s="254"/>
      <c r="P6" s="6"/>
      <c r="Q6" s="6"/>
      <c r="R6" s="6"/>
      <c r="S6" s="6"/>
      <c r="T6" s="6"/>
      <c r="U6" s="6"/>
      <c r="V6" s="6"/>
      <c r="W6" s="6"/>
      <c r="X6" s="6"/>
      <c r="Y6" s="6"/>
      <c r="Z6" s="6"/>
    </row>
    <row r="7" spans="1:26" ht="21.75" customHeight="1">
      <c r="A7" s="487"/>
      <c r="B7" s="495"/>
      <c r="C7" s="34"/>
      <c r="D7" s="19"/>
      <c r="E7" s="11"/>
      <c r="F7" s="260">
        <f>C7*E7</f>
        <v>0</v>
      </c>
      <c r="G7" s="43"/>
      <c r="H7" s="18"/>
      <c r="I7" s="179">
        <f t="shared" si="1"/>
        <v>0</v>
      </c>
      <c r="J7" s="254"/>
      <c r="K7" s="254"/>
      <c r="L7" s="254"/>
      <c r="M7" s="254"/>
      <c r="N7" s="254"/>
      <c r="O7" s="254"/>
      <c r="P7" s="6"/>
      <c r="Q7" s="6"/>
      <c r="R7" s="6"/>
      <c r="S7" s="6"/>
      <c r="T7" s="6"/>
      <c r="U7" s="6"/>
      <c r="V7" s="6"/>
      <c r="W7" s="6"/>
      <c r="X7" s="6"/>
      <c r="Y7" s="6"/>
      <c r="Z7" s="6"/>
    </row>
    <row r="8" spans="1:26" ht="21.75" customHeight="1">
      <c r="A8" s="487"/>
      <c r="B8" s="495"/>
      <c r="C8" s="34"/>
      <c r="D8" s="19"/>
      <c r="E8" s="11"/>
      <c r="F8" s="262">
        <f t="shared" si="0"/>
        <v>0</v>
      </c>
      <c r="G8" s="43"/>
      <c r="H8" s="18"/>
      <c r="I8" s="179">
        <f t="shared" si="1"/>
        <v>0</v>
      </c>
      <c r="J8" s="254"/>
      <c r="K8" s="254"/>
      <c r="L8" s="254"/>
      <c r="M8" s="254"/>
      <c r="N8" s="254"/>
      <c r="O8" s="254"/>
      <c r="P8" s="6"/>
      <c r="Q8" s="6"/>
      <c r="R8" s="6"/>
      <c r="S8" s="6"/>
      <c r="T8" s="6"/>
      <c r="U8" s="6"/>
      <c r="V8" s="6"/>
      <c r="W8" s="6"/>
      <c r="X8" s="6"/>
      <c r="Y8" s="6"/>
      <c r="Z8" s="6"/>
    </row>
    <row r="9" spans="1:26" ht="21.75" customHeight="1">
      <c r="A9" s="487"/>
      <c r="B9" s="495"/>
      <c r="C9" s="34"/>
      <c r="D9" s="19"/>
      <c r="E9" s="11"/>
      <c r="F9" s="262">
        <f t="shared" si="0"/>
        <v>0</v>
      </c>
      <c r="G9" s="43"/>
      <c r="H9" s="18"/>
      <c r="I9" s="179">
        <f t="shared" si="1"/>
        <v>0</v>
      </c>
      <c r="J9" s="254"/>
      <c r="K9" s="254"/>
      <c r="L9" s="254"/>
      <c r="M9" s="254"/>
      <c r="N9" s="254"/>
      <c r="O9" s="254"/>
      <c r="P9" s="6"/>
      <c r="Q9" s="6"/>
      <c r="R9" s="6"/>
      <c r="S9" s="6"/>
      <c r="T9" s="6"/>
      <c r="U9" s="6"/>
      <c r="V9" s="6"/>
      <c r="W9" s="6"/>
      <c r="X9" s="6"/>
      <c r="Y9" s="6"/>
      <c r="Z9" s="6"/>
    </row>
    <row r="10" spans="1:26" ht="21.75" customHeight="1">
      <c r="A10" s="487"/>
      <c r="B10" s="495"/>
      <c r="C10" s="34"/>
      <c r="D10" s="19"/>
      <c r="E10" s="11"/>
      <c r="F10" s="260">
        <f t="shared" si="0"/>
        <v>0</v>
      </c>
      <c r="G10" s="43"/>
      <c r="H10" s="18"/>
      <c r="I10" s="179">
        <f t="shared" si="1"/>
        <v>0</v>
      </c>
      <c r="J10" s="254"/>
      <c r="K10" s="254"/>
      <c r="L10" s="254"/>
      <c r="M10" s="254"/>
      <c r="N10" s="254"/>
      <c r="O10" s="254"/>
      <c r="P10" s="6"/>
      <c r="Q10" s="6"/>
      <c r="R10" s="6"/>
      <c r="S10" s="6"/>
      <c r="T10" s="6"/>
      <c r="U10" s="6"/>
      <c r="V10" s="6"/>
      <c r="W10" s="6"/>
      <c r="X10" s="6"/>
      <c r="Y10" s="6"/>
      <c r="Z10" s="6"/>
    </row>
    <row r="11" spans="1:26" ht="21.75" customHeight="1">
      <c r="A11" s="490"/>
      <c r="B11" s="496"/>
      <c r="C11" s="34"/>
      <c r="D11" s="19"/>
      <c r="E11" s="11"/>
      <c r="F11" s="260">
        <f t="shared" si="0"/>
        <v>0</v>
      </c>
      <c r="G11" s="43"/>
      <c r="H11" s="18"/>
      <c r="I11" s="179">
        <f t="shared" si="1"/>
        <v>0</v>
      </c>
      <c r="J11" s="254"/>
      <c r="K11" s="254"/>
      <c r="L11" s="254"/>
      <c r="M11" s="254"/>
      <c r="N11" s="254"/>
      <c r="O11" s="254"/>
      <c r="P11" s="6"/>
      <c r="Q11" s="6"/>
      <c r="R11" s="6"/>
      <c r="S11" s="6"/>
      <c r="T11" s="6"/>
      <c r="U11" s="6"/>
      <c r="V11" s="6"/>
      <c r="W11" s="6"/>
      <c r="X11" s="6"/>
      <c r="Y11" s="6"/>
      <c r="Z11" s="6"/>
    </row>
    <row r="12" spans="1:26" ht="21.75" customHeight="1">
      <c r="A12" s="487"/>
      <c r="B12" s="495"/>
      <c r="C12" s="34"/>
      <c r="D12" s="19"/>
      <c r="E12" s="11"/>
      <c r="F12" s="260">
        <f t="shared" si="0"/>
        <v>0</v>
      </c>
      <c r="G12" s="43"/>
      <c r="H12" s="18"/>
      <c r="I12" s="179">
        <f t="shared" si="1"/>
        <v>0</v>
      </c>
      <c r="J12" s="254"/>
      <c r="K12" s="254"/>
      <c r="L12" s="254"/>
      <c r="M12" s="254"/>
      <c r="N12" s="254"/>
      <c r="O12" s="254"/>
      <c r="P12" s="6"/>
      <c r="Q12" s="6"/>
      <c r="R12" s="6"/>
      <c r="S12" s="6"/>
      <c r="T12" s="6"/>
      <c r="U12" s="6"/>
      <c r="V12" s="6"/>
      <c r="W12" s="6"/>
      <c r="X12" s="6"/>
      <c r="Y12" s="6"/>
      <c r="Z12" s="6"/>
    </row>
    <row r="13" spans="1:26" ht="21.75" customHeight="1">
      <c r="A13" s="490"/>
      <c r="B13" s="496"/>
      <c r="C13" s="34"/>
      <c r="D13" s="19"/>
      <c r="E13" s="11"/>
      <c r="F13" s="260">
        <f t="shared" si="0"/>
        <v>0</v>
      </c>
      <c r="G13" s="43"/>
      <c r="H13" s="18"/>
      <c r="I13" s="179">
        <f t="shared" si="1"/>
        <v>0</v>
      </c>
      <c r="J13" s="254"/>
      <c r="K13" s="254"/>
      <c r="L13" s="254"/>
      <c r="M13" s="254"/>
      <c r="N13" s="254"/>
      <c r="O13" s="254"/>
      <c r="P13" s="6"/>
      <c r="Q13" s="6"/>
      <c r="R13" s="6"/>
      <c r="S13" s="6"/>
      <c r="T13" s="6"/>
      <c r="U13" s="6"/>
      <c r="V13" s="6"/>
      <c r="W13" s="6"/>
      <c r="X13" s="6"/>
      <c r="Y13" s="6"/>
      <c r="Z13" s="6"/>
    </row>
    <row r="14" spans="1:26" ht="21.75" customHeight="1">
      <c r="A14" s="490"/>
      <c r="B14" s="496"/>
      <c r="C14" s="34"/>
      <c r="D14" s="19"/>
      <c r="E14" s="11"/>
      <c r="F14" s="260">
        <f t="shared" si="0"/>
        <v>0</v>
      </c>
      <c r="G14" s="43"/>
      <c r="H14" s="18"/>
      <c r="I14" s="179">
        <f t="shared" si="1"/>
        <v>0</v>
      </c>
      <c r="J14" s="254"/>
      <c r="K14" s="254"/>
      <c r="L14" s="254"/>
      <c r="M14" s="254"/>
      <c r="N14" s="254"/>
      <c r="O14" s="254"/>
      <c r="P14" s="6"/>
      <c r="Q14" s="6"/>
      <c r="R14" s="6"/>
      <c r="S14" s="6"/>
      <c r="T14" s="6"/>
      <c r="U14" s="6"/>
      <c r="V14" s="6"/>
      <c r="W14" s="6"/>
      <c r="X14" s="6"/>
      <c r="Y14" s="6"/>
      <c r="Z14" s="6"/>
    </row>
    <row r="15" spans="1:26" ht="21.75" customHeight="1">
      <c r="A15" s="490"/>
      <c r="B15" s="496"/>
      <c r="C15" s="34"/>
      <c r="D15" s="19"/>
      <c r="E15" s="11"/>
      <c r="F15" s="260">
        <f t="shared" si="0"/>
        <v>0</v>
      </c>
      <c r="G15" s="43"/>
      <c r="H15" s="18"/>
      <c r="I15" s="179">
        <f t="shared" si="1"/>
        <v>0</v>
      </c>
      <c r="J15" s="254"/>
      <c r="K15" s="254"/>
      <c r="L15" s="254"/>
      <c r="M15" s="254"/>
      <c r="N15" s="254"/>
      <c r="O15" s="254"/>
      <c r="P15" s="6"/>
      <c r="Q15" s="6"/>
      <c r="R15" s="6"/>
      <c r="S15" s="6"/>
      <c r="T15" s="6"/>
      <c r="U15" s="6"/>
      <c r="V15" s="6"/>
      <c r="W15" s="6"/>
      <c r="X15" s="6"/>
      <c r="Y15" s="6"/>
      <c r="Z15" s="6"/>
    </row>
    <row r="16" spans="1:26" ht="21.75" customHeight="1">
      <c r="A16" s="490"/>
      <c r="B16" s="496"/>
      <c r="C16" s="34"/>
      <c r="D16" s="19"/>
      <c r="E16" s="11"/>
      <c r="F16" s="260">
        <f t="shared" si="0"/>
        <v>0</v>
      </c>
      <c r="G16" s="43"/>
      <c r="H16" s="18"/>
      <c r="I16" s="179">
        <f t="shared" si="1"/>
        <v>0</v>
      </c>
      <c r="J16" s="254"/>
      <c r="K16" s="254"/>
      <c r="L16" s="254"/>
      <c r="M16" s="254"/>
      <c r="N16" s="254"/>
      <c r="O16" s="254"/>
      <c r="P16" s="6"/>
      <c r="Q16" s="6"/>
      <c r="R16" s="6"/>
      <c r="S16" s="6"/>
      <c r="T16" s="6"/>
      <c r="U16" s="6"/>
      <c r="V16" s="6"/>
      <c r="W16" s="6"/>
      <c r="X16" s="6"/>
      <c r="Y16" s="6"/>
      <c r="Z16" s="6"/>
    </row>
    <row r="17" spans="1:26" ht="21.75" customHeight="1">
      <c r="A17" s="490"/>
      <c r="B17" s="496"/>
      <c r="C17" s="34"/>
      <c r="D17" s="19"/>
      <c r="E17" s="11"/>
      <c r="F17" s="260">
        <f t="shared" si="0"/>
        <v>0</v>
      </c>
      <c r="G17" s="43"/>
      <c r="H17" s="18"/>
      <c r="I17" s="179">
        <f t="shared" si="1"/>
        <v>0</v>
      </c>
      <c r="J17" s="254"/>
      <c r="K17" s="254"/>
      <c r="L17" s="254"/>
      <c r="M17" s="254"/>
      <c r="N17" s="254"/>
      <c r="O17" s="254"/>
      <c r="P17" s="6"/>
      <c r="Q17" s="6"/>
      <c r="R17" s="6"/>
      <c r="S17" s="6"/>
      <c r="T17" s="6"/>
      <c r="U17" s="6"/>
      <c r="V17" s="6"/>
      <c r="W17" s="6"/>
      <c r="X17" s="6"/>
      <c r="Y17" s="6"/>
      <c r="Z17" s="6"/>
    </row>
    <row r="18" spans="1:26" ht="21.75" customHeight="1">
      <c r="A18" s="490"/>
      <c r="B18" s="496"/>
      <c r="C18" s="34"/>
      <c r="D18" s="19"/>
      <c r="E18" s="11"/>
      <c r="F18" s="260">
        <f t="shared" si="0"/>
        <v>0</v>
      </c>
      <c r="G18" s="43"/>
      <c r="H18" s="18"/>
      <c r="I18" s="179">
        <f t="shared" si="1"/>
        <v>0</v>
      </c>
      <c r="J18" s="254"/>
      <c r="K18" s="254"/>
      <c r="L18" s="254"/>
      <c r="M18" s="254"/>
      <c r="N18" s="254"/>
      <c r="O18" s="254"/>
      <c r="P18" s="6"/>
      <c r="Q18" s="6"/>
      <c r="R18" s="6"/>
      <c r="S18" s="6"/>
      <c r="T18" s="6"/>
      <c r="U18" s="6"/>
      <c r="V18" s="6"/>
      <c r="W18" s="6"/>
      <c r="X18" s="6"/>
      <c r="Y18" s="6"/>
      <c r="Z18" s="6"/>
    </row>
    <row r="19" spans="1:26" ht="21.75" customHeight="1">
      <c r="A19" s="490"/>
      <c r="B19" s="496"/>
      <c r="C19" s="34"/>
      <c r="D19" s="19"/>
      <c r="E19" s="11"/>
      <c r="F19" s="260">
        <f t="shared" si="0"/>
        <v>0</v>
      </c>
      <c r="G19" s="43"/>
      <c r="H19" s="18"/>
      <c r="I19" s="179">
        <f t="shared" si="1"/>
        <v>0</v>
      </c>
      <c r="J19" s="254"/>
      <c r="K19" s="254"/>
      <c r="L19" s="254"/>
      <c r="M19" s="254"/>
      <c r="N19" s="254"/>
      <c r="O19" s="254"/>
      <c r="P19" s="6"/>
      <c r="Q19" s="6"/>
      <c r="R19" s="6"/>
      <c r="S19" s="6"/>
      <c r="T19" s="6"/>
      <c r="U19" s="6"/>
      <c r="V19" s="6"/>
      <c r="W19" s="6"/>
      <c r="X19" s="6"/>
      <c r="Y19" s="6"/>
      <c r="Z19" s="6"/>
    </row>
    <row r="20" spans="1:26" ht="21.75" customHeight="1">
      <c r="A20" s="490"/>
      <c r="B20" s="496"/>
      <c r="C20" s="34"/>
      <c r="D20" s="19"/>
      <c r="E20" s="11"/>
      <c r="F20" s="260">
        <f t="shared" si="0"/>
        <v>0</v>
      </c>
      <c r="G20" s="43"/>
      <c r="H20" s="18"/>
      <c r="I20" s="179">
        <f t="shared" si="1"/>
        <v>0</v>
      </c>
      <c r="J20" s="254"/>
      <c r="K20" s="254"/>
      <c r="L20" s="254"/>
      <c r="M20" s="254"/>
      <c r="N20" s="254"/>
      <c r="O20" s="254"/>
      <c r="P20" s="6"/>
      <c r="Q20" s="6"/>
      <c r="R20" s="6"/>
      <c r="S20" s="6"/>
      <c r="T20" s="6"/>
      <c r="U20" s="6"/>
      <c r="V20" s="6"/>
      <c r="W20" s="6"/>
      <c r="X20" s="6"/>
      <c r="Y20" s="6"/>
      <c r="Z20" s="6"/>
    </row>
    <row r="21" spans="1:26" ht="21.75" customHeight="1">
      <c r="A21" s="490"/>
      <c r="B21" s="496"/>
      <c r="C21" s="34"/>
      <c r="D21" s="19"/>
      <c r="E21" s="11"/>
      <c r="F21" s="260">
        <f t="shared" si="0"/>
        <v>0</v>
      </c>
      <c r="G21" s="43"/>
      <c r="H21" s="18"/>
      <c r="I21" s="179">
        <f t="shared" si="1"/>
        <v>0</v>
      </c>
      <c r="J21" s="254"/>
      <c r="K21" s="254"/>
      <c r="L21" s="254"/>
      <c r="M21" s="254"/>
      <c r="N21" s="254"/>
      <c r="O21" s="254"/>
      <c r="P21" s="6"/>
      <c r="Q21" s="6"/>
      <c r="R21" s="6"/>
      <c r="S21" s="6"/>
      <c r="T21" s="6"/>
      <c r="U21" s="6"/>
      <c r="V21" s="6"/>
      <c r="W21" s="6"/>
      <c r="X21" s="6"/>
      <c r="Y21" s="6"/>
      <c r="Z21" s="6"/>
    </row>
    <row r="22" spans="1:26" ht="21.75" customHeight="1">
      <c r="A22" s="490"/>
      <c r="B22" s="496"/>
      <c r="C22" s="34"/>
      <c r="D22" s="19"/>
      <c r="E22" s="11"/>
      <c r="F22" s="260">
        <f t="shared" si="0"/>
        <v>0</v>
      </c>
      <c r="G22" s="43"/>
      <c r="H22" s="18"/>
      <c r="I22" s="179">
        <f t="shared" si="1"/>
        <v>0</v>
      </c>
      <c r="J22" s="254"/>
      <c r="K22" s="254"/>
      <c r="L22" s="254"/>
      <c r="M22" s="254"/>
      <c r="N22" s="254"/>
      <c r="O22" s="254"/>
      <c r="P22" s="6"/>
      <c r="Q22" s="6"/>
      <c r="R22" s="6"/>
      <c r="S22" s="6"/>
      <c r="T22" s="6"/>
      <c r="U22" s="6"/>
      <c r="V22" s="6"/>
      <c r="W22" s="6"/>
      <c r="X22" s="6"/>
      <c r="Y22" s="6"/>
      <c r="Z22" s="6"/>
    </row>
    <row r="23" spans="1:26" ht="21.75" customHeight="1">
      <c r="A23" s="490"/>
      <c r="B23" s="496"/>
      <c r="C23" s="34"/>
      <c r="D23" s="19"/>
      <c r="E23" s="11"/>
      <c r="F23" s="260">
        <f t="shared" si="0"/>
        <v>0</v>
      </c>
      <c r="G23" s="43"/>
      <c r="H23" s="18"/>
      <c r="I23" s="179">
        <f t="shared" si="1"/>
        <v>0</v>
      </c>
      <c r="J23" s="254"/>
      <c r="K23" s="254"/>
      <c r="L23" s="254"/>
      <c r="M23" s="254"/>
      <c r="N23" s="254"/>
      <c r="O23" s="254"/>
      <c r="P23" s="6"/>
      <c r="Q23" s="6"/>
      <c r="R23" s="6"/>
      <c r="S23" s="6"/>
      <c r="T23" s="6"/>
      <c r="U23" s="6"/>
      <c r="V23" s="6"/>
      <c r="W23" s="6"/>
      <c r="X23" s="6"/>
      <c r="Y23" s="6"/>
      <c r="Z23" s="6"/>
    </row>
    <row r="24" spans="1:26" ht="21.75" customHeight="1">
      <c r="A24" s="487"/>
      <c r="B24" s="495"/>
      <c r="C24" s="34"/>
      <c r="D24" s="19"/>
      <c r="E24" s="11"/>
      <c r="F24" s="260">
        <f t="shared" si="0"/>
        <v>0</v>
      </c>
      <c r="G24" s="43"/>
      <c r="H24" s="18"/>
      <c r="I24" s="179">
        <f t="shared" si="1"/>
        <v>0</v>
      </c>
      <c r="J24" s="254"/>
      <c r="K24" s="254"/>
      <c r="L24" s="254"/>
      <c r="M24" s="254"/>
      <c r="N24" s="254"/>
      <c r="O24" s="254"/>
      <c r="P24" s="6"/>
      <c r="Q24" s="6"/>
      <c r="R24" s="6"/>
      <c r="S24" s="6"/>
      <c r="T24" s="6"/>
      <c r="U24" s="6"/>
      <c r="V24" s="6"/>
      <c r="W24" s="6"/>
      <c r="X24" s="6"/>
      <c r="Y24" s="6"/>
      <c r="Z24" s="6"/>
    </row>
    <row r="25" spans="1:26" ht="21.75" customHeight="1">
      <c r="A25" s="487"/>
      <c r="B25" s="495"/>
      <c r="C25" s="34"/>
      <c r="D25" s="19"/>
      <c r="E25" s="11"/>
      <c r="F25" s="260">
        <f t="shared" si="0"/>
        <v>0</v>
      </c>
      <c r="G25" s="43"/>
      <c r="H25" s="18"/>
      <c r="I25" s="179">
        <f t="shared" si="1"/>
        <v>0</v>
      </c>
      <c r="J25" s="254"/>
      <c r="K25" s="254"/>
      <c r="L25" s="254"/>
      <c r="M25" s="254"/>
      <c r="N25" s="254"/>
      <c r="O25" s="254"/>
      <c r="P25" s="6"/>
      <c r="Q25" s="6"/>
      <c r="R25" s="6"/>
      <c r="S25" s="6"/>
      <c r="T25" s="6"/>
      <c r="U25" s="6"/>
      <c r="V25" s="6"/>
      <c r="W25" s="6"/>
      <c r="X25" s="6"/>
      <c r="Y25" s="6"/>
      <c r="Z25" s="6"/>
    </row>
    <row r="26" spans="1:26" ht="21.75" customHeight="1">
      <c r="A26" s="487"/>
      <c r="B26" s="495"/>
      <c r="C26" s="34"/>
      <c r="D26" s="19"/>
      <c r="E26" s="11"/>
      <c r="F26" s="260">
        <f t="shared" si="0"/>
        <v>0</v>
      </c>
      <c r="G26" s="43"/>
      <c r="H26" s="18"/>
      <c r="I26" s="179">
        <f t="shared" si="1"/>
        <v>0</v>
      </c>
      <c r="J26" s="254"/>
      <c r="K26" s="254"/>
      <c r="L26" s="254"/>
      <c r="M26" s="254"/>
      <c r="N26" s="254"/>
      <c r="O26" s="254"/>
      <c r="P26" s="6"/>
      <c r="Q26" s="6"/>
      <c r="R26" s="6"/>
      <c r="S26" s="6"/>
      <c r="T26" s="6"/>
      <c r="U26" s="6"/>
      <c r="V26" s="6"/>
      <c r="W26" s="6"/>
      <c r="X26" s="6"/>
      <c r="Y26" s="6"/>
      <c r="Z26" s="6"/>
    </row>
    <row r="27" spans="1:26" ht="21.75" customHeight="1">
      <c r="A27" s="487"/>
      <c r="B27" s="495"/>
      <c r="C27" s="34"/>
      <c r="D27" s="19"/>
      <c r="E27" s="11"/>
      <c r="F27" s="260">
        <f t="shared" si="0"/>
        <v>0</v>
      </c>
      <c r="G27" s="43"/>
      <c r="H27" s="18"/>
      <c r="I27" s="179">
        <f t="shared" si="1"/>
        <v>0</v>
      </c>
      <c r="J27" s="254"/>
      <c r="K27" s="254"/>
      <c r="L27" s="254"/>
      <c r="M27" s="254"/>
      <c r="N27" s="254"/>
      <c r="O27" s="254"/>
      <c r="P27" s="6"/>
      <c r="Q27" s="6"/>
      <c r="R27" s="6"/>
      <c r="S27" s="6"/>
      <c r="T27" s="6"/>
      <c r="U27" s="6"/>
      <c r="V27" s="6"/>
      <c r="W27" s="6"/>
      <c r="X27" s="6"/>
      <c r="Y27" s="6"/>
      <c r="Z27" s="6"/>
    </row>
    <row r="28" spans="1:26" ht="21.75" customHeight="1">
      <c r="A28" s="487"/>
      <c r="B28" s="495"/>
      <c r="C28" s="34"/>
      <c r="D28" s="19"/>
      <c r="E28" s="11"/>
      <c r="F28" s="260">
        <f t="shared" si="0"/>
        <v>0</v>
      </c>
      <c r="G28" s="43"/>
      <c r="H28" s="18"/>
      <c r="I28" s="179">
        <f t="shared" si="1"/>
        <v>0</v>
      </c>
      <c r="J28" s="254"/>
      <c r="K28" s="254"/>
      <c r="L28" s="254"/>
      <c r="M28" s="254"/>
      <c r="N28" s="254"/>
      <c r="O28" s="254"/>
      <c r="P28" s="6"/>
      <c r="Q28" s="6"/>
      <c r="R28" s="6"/>
      <c r="S28" s="6"/>
      <c r="T28" s="6"/>
      <c r="U28" s="6"/>
      <c r="V28" s="6"/>
      <c r="W28" s="6"/>
      <c r="X28" s="6"/>
      <c r="Y28" s="6"/>
      <c r="Z28" s="6"/>
    </row>
    <row r="29" spans="1:26" ht="21.75" customHeight="1">
      <c r="A29" s="487"/>
      <c r="B29" s="495"/>
      <c r="C29" s="34"/>
      <c r="D29" s="19"/>
      <c r="E29" s="11"/>
      <c r="F29" s="260">
        <f t="shared" si="0"/>
        <v>0</v>
      </c>
      <c r="G29" s="43"/>
      <c r="H29" s="18"/>
      <c r="I29" s="179">
        <f t="shared" si="1"/>
        <v>0</v>
      </c>
      <c r="J29" s="254"/>
      <c r="K29" s="254"/>
      <c r="L29" s="254"/>
      <c r="M29" s="254"/>
      <c r="N29" s="254"/>
      <c r="O29" s="254"/>
      <c r="P29" s="6"/>
      <c r="Q29" s="6"/>
      <c r="R29" s="6"/>
      <c r="S29" s="6"/>
      <c r="T29" s="6"/>
      <c r="U29" s="6"/>
      <c r="V29" s="6"/>
      <c r="W29" s="6"/>
      <c r="X29" s="6"/>
      <c r="Y29" s="6"/>
      <c r="Z29" s="6"/>
    </row>
    <row r="30" spans="1:26" ht="21.75" customHeight="1">
      <c r="A30" s="487"/>
      <c r="B30" s="495"/>
      <c r="C30" s="34"/>
      <c r="D30" s="19"/>
      <c r="E30" s="11"/>
      <c r="F30" s="263">
        <f t="shared" si="0"/>
        <v>0</v>
      </c>
      <c r="G30" s="34"/>
      <c r="H30" s="22"/>
      <c r="I30" s="182">
        <f t="shared" si="1"/>
        <v>0</v>
      </c>
      <c r="J30" s="254"/>
      <c r="K30" s="254"/>
      <c r="L30" s="254"/>
      <c r="M30" s="254"/>
      <c r="N30" s="254"/>
      <c r="O30" s="254"/>
      <c r="P30" s="6"/>
      <c r="Q30" s="6"/>
      <c r="R30" s="6"/>
      <c r="S30" s="6"/>
      <c r="T30" s="6"/>
      <c r="U30" s="6"/>
      <c r="V30" s="6"/>
      <c r="W30" s="6"/>
      <c r="X30" s="6"/>
      <c r="Y30" s="6"/>
      <c r="Z30" s="6"/>
    </row>
    <row r="31" spans="1:26" ht="15.75" customHeight="1" thickBot="1">
      <c r="A31" s="23"/>
      <c r="B31" s="24"/>
      <c r="C31" s="467" t="s">
        <v>122</v>
      </c>
      <c r="D31" s="468"/>
      <c r="E31" s="468"/>
      <c r="F31" s="25">
        <f>SUM(F6:F30)</f>
        <v>0</v>
      </c>
      <c r="G31" s="467" t="s">
        <v>123</v>
      </c>
      <c r="H31" s="468"/>
      <c r="I31" s="25">
        <f>SUM(I6:I30)</f>
        <v>0</v>
      </c>
      <c r="J31" s="255"/>
      <c r="K31" s="255"/>
      <c r="L31" s="255"/>
      <c r="M31" s="255"/>
      <c r="N31" s="255"/>
      <c r="O31" s="255"/>
      <c r="P31" s="7"/>
      <c r="Q31" s="7"/>
      <c r="R31" s="7"/>
      <c r="S31" s="7"/>
      <c r="T31" s="7"/>
      <c r="U31" s="7"/>
      <c r="V31" s="7"/>
      <c r="W31" s="7"/>
      <c r="X31" s="7"/>
      <c r="Y31" s="7"/>
      <c r="Z31" s="7"/>
    </row>
    <row r="32" spans="1:26" ht="19.5" customHeight="1" thickBot="1">
      <c r="A32" s="469" t="s">
        <v>125</v>
      </c>
      <c r="B32" s="470"/>
      <c r="C32" s="470"/>
      <c r="D32" s="470"/>
      <c r="E32" s="470"/>
      <c r="F32" s="470"/>
      <c r="G32" s="470"/>
      <c r="H32" s="470"/>
      <c r="I32" s="26">
        <f>SUM(I31,F31)</f>
        <v>0</v>
      </c>
      <c r="J32" s="255"/>
      <c r="K32" s="255"/>
      <c r="L32" s="255"/>
      <c r="M32" s="255"/>
      <c r="N32" s="255"/>
      <c r="O32" s="255"/>
      <c r="P32" s="7"/>
      <c r="Q32" s="7"/>
      <c r="R32" s="7"/>
      <c r="S32" s="7"/>
      <c r="T32" s="7"/>
      <c r="U32" s="7"/>
      <c r="V32" s="7"/>
      <c r="W32" s="7"/>
      <c r="X32" s="7"/>
      <c r="Y32" s="7"/>
      <c r="Z32" s="7"/>
    </row>
    <row r="33" spans="1:26" ht="36" customHeight="1" thickBot="1">
      <c r="A33" s="477" t="s">
        <v>192</v>
      </c>
      <c r="B33" s="478"/>
      <c r="C33" s="478"/>
      <c r="D33" s="478"/>
      <c r="E33" s="478"/>
      <c r="F33" s="478"/>
      <c r="G33" s="478"/>
      <c r="H33" s="478"/>
      <c r="I33" s="479"/>
      <c r="J33" s="255"/>
      <c r="K33" s="255"/>
      <c r="L33" s="255"/>
      <c r="M33" s="255"/>
      <c r="N33" s="255"/>
      <c r="O33" s="255"/>
      <c r="P33" s="7"/>
      <c r="Q33" s="7"/>
      <c r="R33" s="7"/>
      <c r="S33" s="7"/>
      <c r="T33" s="7"/>
      <c r="U33" s="7"/>
      <c r="V33" s="7"/>
      <c r="W33" s="7"/>
      <c r="X33" s="7"/>
      <c r="Y33" s="7"/>
      <c r="Z33" s="7"/>
    </row>
    <row r="34" spans="1:26" ht="15.5">
      <c r="A34" s="452" t="s">
        <v>93</v>
      </c>
      <c r="B34" s="453"/>
      <c r="C34" s="390" t="s">
        <v>91</v>
      </c>
      <c r="D34" s="382"/>
      <c r="E34" s="382"/>
      <c r="F34" s="383"/>
      <c r="G34" s="381" t="s">
        <v>92</v>
      </c>
      <c r="H34" s="382"/>
      <c r="I34" s="383"/>
      <c r="J34" s="256"/>
      <c r="K34" s="256"/>
      <c r="L34" s="256"/>
      <c r="M34" s="256"/>
      <c r="N34" s="256"/>
      <c r="O34" s="256"/>
      <c r="P34" s="8"/>
      <c r="Q34" s="8"/>
      <c r="R34" s="8"/>
      <c r="S34" s="8"/>
      <c r="T34" s="8"/>
      <c r="U34" s="8"/>
      <c r="V34" s="8"/>
      <c r="W34" s="8"/>
      <c r="X34" s="8"/>
      <c r="Y34" s="8"/>
      <c r="Z34" s="8"/>
    </row>
    <row r="35" spans="1:26" ht="15.75" customHeight="1" thickBot="1">
      <c r="A35" s="454"/>
      <c r="B35" s="455"/>
      <c r="C35" s="37" t="s">
        <v>129</v>
      </c>
      <c r="D35" s="27" t="s">
        <v>95</v>
      </c>
      <c r="E35" s="28" t="s">
        <v>61</v>
      </c>
      <c r="F35" s="38" t="s">
        <v>79</v>
      </c>
      <c r="G35" s="44" t="s">
        <v>96</v>
      </c>
      <c r="H35" s="30" t="s">
        <v>85</v>
      </c>
      <c r="I35" s="31" t="s">
        <v>79</v>
      </c>
      <c r="J35" s="256"/>
      <c r="K35" s="256"/>
      <c r="L35" s="256"/>
      <c r="M35" s="256"/>
      <c r="N35" s="256"/>
      <c r="O35" s="256"/>
      <c r="P35" s="8"/>
      <c r="Q35" s="8"/>
      <c r="R35" s="8"/>
      <c r="S35" s="8"/>
      <c r="T35" s="8"/>
      <c r="U35" s="8"/>
      <c r="V35" s="8"/>
      <c r="W35" s="8"/>
      <c r="X35" s="8"/>
      <c r="Y35" s="8"/>
      <c r="Z35" s="8"/>
    </row>
    <row r="36" spans="1:26" ht="21.75" customHeight="1">
      <c r="A36" s="489"/>
      <c r="B36" s="488"/>
      <c r="C36" s="39">
        <v>1</v>
      </c>
      <c r="D36" s="20"/>
      <c r="E36" s="12">
        <v>0</v>
      </c>
      <c r="F36" s="40">
        <f t="shared" ref="F36:F48" si="2">C36*E36</f>
        <v>0</v>
      </c>
      <c r="G36" s="45">
        <v>1</v>
      </c>
      <c r="H36" s="12">
        <v>0</v>
      </c>
      <c r="I36" s="264">
        <f>G36*H36</f>
        <v>0</v>
      </c>
      <c r="J36" s="252"/>
      <c r="K36" s="252"/>
      <c r="L36" s="252"/>
      <c r="M36" s="252"/>
      <c r="N36" s="252"/>
      <c r="O36" s="252"/>
    </row>
    <row r="37" spans="1:26" ht="21.75" customHeight="1">
      <c r="A37" s="489"/>
      <c r="B37" s="488"/>
      <c r="C37" s="39"/>
      <c r="D37" s="20"/>
      <c r="E37" s="12"/>
      <c r="F37" s="40">
        <f t="shared" si="2"/>
        <v>0</v>
      </c>
      <c r="G37" s="45"/>
      <c r="H37" s="12"/>
      <c r="I37" s="206">
        <f t="shared" ref="I37:I48" si="3">G37*H37</f>
        <v>0</v>
      </c>
      <c r="J37" s="252"/>
      <c r="K37" s="252"/>
      <c r="L37" s="252"/>
      <c r="M37" s="252"/>
      <c r="N37" s="252"/>
      <c r="O37" s="252"/>
    </row>
    <row r="38" spans="1:26" ht="21.75" customHeight="1">
      <c r="A38" s="489"/>
      <c r="B38" s="488"/>
      <c r="C38" s="39"/>
      <c r="D38" s="20"/>
      <c r="E38" s="12"/>
      <c r="F38" s="40">
        <f t="shared" si="2"/>
        <v>0</v>
      </c>
      <c r="G38" s="45"/>
      <c r="H38" s="12"/>
      <c r="I38" s="206">
        <f t="shared" si="3"/>
        <v>0</v>
      </c>
      <c r="J38" s="252"/>
      <c r="K38" s="252"/>
      <c r="L38" s="252"/>
      <c r="M38" s="252"/>
      <c r="N38" s="252"/>
      <c r="O38" s="252"/>
    </row>
    <row r="39" spans="1:26" ht="21.75" customHeight="1">
      <c r="A39" s="489"/>
      <c r="B39" s="488"/>
      <c r="C39" s="39"/>
      <c r="D39" s="20"/>
      <c r="E39" s="12"/>
      <c r="F39" s="40">
        <f t="shared" si="2"/>
        <v>0</v>
      </c>
      <c r="G39" s="45"/>
      <c r="H39" s="12"/>
      <c r="I39" s="206">
        <f t="shared" si="3"/>
        <v>0</v>
      </c>
      <c r="J39" s="252"/>
      <c r="K39" s="252"/>
      <c r="L39" s="252"/>
      <c r="M39" s="252"/>
      <c r="N39" s="252"/>
      <c r="O39" s="252"/>
    </row>
    <row r="40" spans="1:26" ht="21.75" customHeight="1">
      <c r="A40" s="489"/>
      <c r="B40" s="488"/>
      <c r="C40" s="39"/>
      <c r="D40" s="20"/>
      <c r="E40" s="12"/>
      <c r="F40" s="40">
        <f t="shared" si="2"/>
        <v>0</v>
      </c>
      <c r="G40" s="45"/>
      <c r="H40" s="12"/>
      <c r="I40" s="206">
        <f t="shared" si="3"/>
        <v>0</v>
      </c>
      <c r="J40" s="252"/>
      <c r="K40" s="252"/>
      <c r="L40" s="252"/>
      <c r="M40" s="252"/>
      <c r="N40" s="252"/>
      <c r="O40" s="252"/>
    </row>
    <row r="41" spans="1:26" ht="21.75" customHeight="1">
      <c r="A41" s="489"/>
      <c r="B41" s="488"/>
      <c r="C41" s="39"/>
      <c r="D41" s="20"/>
      <c r="E41" s="12"/>
      <c r="F41" s="40">
        <f t="shared" si="2"/>
        <v>0</v>
      </c>
      <c r="G41" s="45"/>
      <c r="H41" s="12"/>
      <c r="I41" s="206">
        <f t="shared" si="3"/>
        <v>0</v>
      </c>
      <c r="J41" s="252"/>
      <c r="K41" s="252"/>
      <c r="L41" s="252"/>
      <c r="M41" s="252"/>
      <c r="N41" s="252"/>
      <c r="O41" s="252"/>
    </row>
    <row r="42" spans="1:26" ht="21.75" customHeight="1">
      <c r="A42" s="489"/>
      <c r="B42" s="488"/>
      <c r="C42" s="39"/>
      <c r="D42" s="20"/>
      <c r="E42" s="12"/>
      <c r="F42" s="40">
        <f t="shared" si="2"/>
        <v>0</v>
      </c>
      <c r="G42" s="45"/>
      <c r="H42" s="12"/>
      <c r="I42" s="206">
        <f t="shared" si="3"/>
        <v>0</v>
      </c>
      <c r="J42" s="252"/>
      <c r="K42" s="252"/>
      <c r="L42" s="252"/>
      <c r="M42" s="252"/>
      <c r="N42" s="252"/>
      <c r="O42" s="252"/>
    </row>
    <row r="43" spans="1:26" ht="21.75" customHeight="1">
      <c r="A43" s="489"/>
      <c r="B43" s="488"/>
      <c r="C43" s="39"/>
      <c r="D43" s="20"/>
      <c r="E43" s="12"/>
      <c r="F43" s="40">
        <f t="shared" si="2"/>
        <v>0</v>
      </c>
      <c r="G43" s="45"/>
      <c r="H43" s="12"/>
      <c r="I43" s="206">
        <f t="shared" si="3"/>
        <v>0</v>
      </c>
      <c r="J43" s="252"/>
      <c r="K43" s="252"/>
      <c r="L43" s="252"/>
      <c r="M43" s="252"/>
      <c r="N43" s="252"/>
      <c r="O43" s="252"/>
    </row>
    <row r="44" spans="1:26" ht="21.75" customHeight="1">
      <c r="A44" s="489"/>
      <c r="B44" s="488"/>
      <c r="C44" s="39"/>
      <c r="D44" s="20"/>
      <c r="E44" s="12"/>
      <c r="F44" s="40">
        <f t="shared" si="2"/>
        <v>0</v>
      </c>
      <c r="G44" s="45"/>
      <c r="H44" s="12"/>
      <c r="I44" s="206">
        <f t="shared" si="3"/>
        <v>0</v>
      </c>
      <c r="J44" s="252"/>
      <c r="K44" s="252"/>
      <c r="L44" s="252"/>
      <c r="M44" s="252"/>
      <c r="N44" s="252"/>
      <c r="O44" s="252"/>
    </row>
    <row r="45" spans="1:26" ht="21.75" customHeight="1">
      <c r="A45" s="489"/>
      <c r="B45" s="488"/>
      <c r="C45" s="39"/>
      <c r="D45" s="20"/>
      <c r="E45" s="12"/>
      <c r="F45" s="40">
        <f t="shared" si="2"/>
        <v>0</v>
      </c>
      <c r="G45" s="45"/>
      <c r="H45" s="12"/>
      <c r="I45" s="206">
        <f t="shared" si="3"/>
        <v>0</v>
      </c>
      <c r="J45" s="252"/>
      <c r="K45" s="252"/>
      <c r="L45" s="252"/>
      <c r="M45" s="252"/>
      <c r="N45" s="252"/>
      <c r="O45" s="252"/>
    </row>
    <row r="46" spans="1:26" ht="21.75" customHeight="1">
      <c r="A46" s="489"/>
      <c r="B46" s="488"/>
      <c r="C46" s="39"/>
      <c r="D46" s="20"/>
      <c r="E46" s="12"/>
      <c r="F46" s="40">
        <f t="shared" si="2"/>
        <v>0</v>
      </c>
      <c r="G46" s="45"/>
      <c r="H46" s="12"/>
      <c r="I46" s="206">
        <f t="shared" si="3"/>
        <v>0</v>
      </c>
      <c r="J46" s="252"/>
      <c r="K46" s="252"/>
      <c r="L46" s="252"/>
      <c r="M46" s="252"/>
      <c r="N46" s="252"/>
      <c r="O46" s="252"/>
    </row>
    <row r="47" spans="1:26" ht="21.75" customHeight="1">
      <c r="A47" s="489"/>
      <c r="B47" s="488"/>
      <c r="C47" s="39"/>
      <c r="D47" s="20"/>
      <c r="E47" s="12"/>
      <c r="F47" s="40">
        <f t="shared" si="2"/>
        <v>0</v>
      </c>
      <c r="G47" s="45"/>
      <c r="H47" s="12"/>
      <c r="I47" s="206">
        <f t="shared" si="3"/>
        <v>0</v>
      </c>
      <c r="J47" s="252"/>
      <c r="K47" s="252"/>
      <c r="L47" s="252"/>
      <c r="M47" s="252"/>
      <c r="N47" s="252"/>
      <c r="O47" s="252"/>
    </row>
    <row r="48" spans="1:26" ht="21.75" customHeight="1">
      <c r="A48" s="489"/>
      <c r="B48" s="488"/>
      <c r="C48" s="39"/>
      <c r="D48" s="20"/>
      <c r="E48" s="12"/>
      <c r="F48" s="40">
        <f t="shared" si="2"/>
        <v>0</v>
      </c>
      <c r="G48" s="45"/>
      <c r="H48" s="12"/>
      <c r="I48" s="206">
        <f t="shared" si="3"/>
        <v>0</v>
      </c>
      <c r="J48" s="252"/>
      <c r="K48" s="252"/>
      <c r="L48" s="252"/>
      <c r="M48" s="252"/>
      <c r="N48" s="252"/>
      <c r="O48" s="252"/>
    </row>
    <row r="49" spans="1:15" ht="15.75" customHeight="1" thickBot="1">
      <c r="A49" s="46"/>
      <c r="B49" s="47"/>
      <c r="C49" s="473" t="s">
        <v>122</v>
      </c>
      <c r="D49" s="474"/>
      <c r="E49" s="475"/>
      <c r="F49" s="266">
        <f>SUM(F36:F48)</f>
        <v>0</v>
      </c>
      <c r="G49" s="473" t="s">
        <v>123</v>
      </c>
      <c r="H49" s="475"/>
      <c r="I49" s="266">
        <f>SUM(I36:I48)</f>
        <v>0</v>
      </c>
      <c r="J49" s="252"/>
      <c r="K49" s="252"/>
      <c r="L49" s="252"/>
      <c r="M49" s="252"/>
      <c r="N49" s="252"/>
      <c r="O49" s="252"/>
    </row>
    <row r="50" spans="1:15" ht="20.149999999999999" customHeight="1" thickBot="1">
      <c r="A50" s="469" t="s">
        <v>124</v>
      </c>
      <c r="B50" s="470"/>
      <c r="C50" s="470"/>
      <c r="D50" s="470"/>
      <c r="E50" s="470"/>
      <c r="F50" s="470"/>
      <c r="G50" s="470"/>
      <c r="H50" s="470"/>
      <c r="I50" s="267">
        <f>SUM(I49,F49)</f>
        <v>0</v>
      </c>
      <c r="J50" s="252"/>
      <c r="K50" s="252"/>
      <c r="L50" s="252"/>
      <c r="M50" s="252"/>
      <c r="N50" s="252"/>
      <c r="O50" s="252"/>
    </row>
    <row r="51" spans="1:15" ht="15.75" customHeight="1">
      <c r="A51" s="252"/>
      <c r="B51" s="252"/>
      <c r="C51" s="252"/>
      <c r="D51" s="252"/>
      <c r="E51" s="257"/>
      <c r="F51" s="252"/>
      <c r="G51" s="252"/>
      <c r="H51" s="252"/>
      <c r="I51" s="252"/>
      <c r="J51" s="252"/>
      <c r="K51" s="252"/>
      <c r="L51" s="252"/>
      <c r="M51" s="252"/>
      <c r="N51" s="252"/>
      <c r="O51" s="252"/>
    </row>
    <row r="52" spans="1:15" ht="15.75" customHeight="1">
      <c r="A52" s="252"/>
      <c r="B52" s="252"/>
      <c r="C52" s="252"/>
      <c r="D52" s="252"/>
      <c r="E52" s="257"/>
      <c r="F52" s="252"/>
      <c r="G52" s="252"/>
      <c r="H52" s="252"/>
      <c r="I52" s="252"/>
      <c r="J52" s="252"/>
      <c r="K52" s="252"/>
      <c r="L52" s="252"/>
      <c r="M52" s="252"/>
      <c r="N52" s="252"/>
      <c r="O52" s="252"/>
    </row>
    <row r="53" spans="1:15" ht="15.75" customHeight="1">
      <c r="A53" s="252"/>
      <c r="B53" s="252"/>
      <c r="C53" s="252"/>
      <c r="D53" s="252"/>
      <c r="E53" s="257"/>
      <c r="F53" s="252"/>
      <c r="G53" s="252"/>
      <c r="H53" s="252"/>
      <c r="I53" s="252"/>
      <c r="J53" s="252"/>
      <c r="K53" s="252"/>
      <c r="L53" s="252"/>
      <c r="M53" s="252"/>
      <c r="N53" s="252"/>
      <c r="O53" s="252"/>
    </row>
    <row r="54" spans="1:15" ht="15.75" customHeight="1">
      <c r="A54" s="252"/>
      <c r="B54" s="252"/>
      <c r="C54" s="252"/>
      <c r="D54" s="252"/>
      <c r="E54" s="257"/>
      <c r="F54" s="252"/>
      <c r="G54" s="252"/>
      <c r="H54" s="252"/>
      <c r="I54" s="252"/>
      <c r="J54" s="252"/>
      <c r="K54" s="252"/>
      <c r="L54" s="252"/>
      <c r="M54" s="252"/>
      <c r="N54" s="252"/>
      <c r="O54" s="252"/>
    </row>
    <row r="55" spans="1:15" ht="15.75" customHeight="1">
      <c r="A55" s="252"/>
      <c r="B55" s="252"/>
      <c r="C55" s="252"/>
      <c r="D55" s="252"/>
      <c r="E55" s="257"/>
      <c r="F55" s="252"/>
      <c r="G55" s="252"/>
      <c r="H55" s="252"/>
      <c r="I55" s="252"/>
      <c r="J55" s="252"/>
      <c r="K55" s="252"/>
      <c r="L55" s="252"/>
      <c r="M55" s="252"/>
      <c r="N55" s="252"/>
      <c r="O55" s="252"/>
    </row>
    <row r="56" spans="1:15" ht="15.75" customHeight="1">
      <c r="A56" s="252"/>
      <c r="B56" s="252"/>
      <c r="C56" s="252"/>
      <c r="D56" s="252"/>
      <c r="E56" s="257"/>
      <c r="F56" s="252"/>
      <c r="G56" s="252"/>
      <c r="H56" s="252"/>
      <c r="I56" s="252"/>
      <c r="J56" s="252"/>
      <c r="K56" s="252"/>
      <c r="L56" s="252"/>
      <c r="M56" s="252"/>
      <c r="N56" s="252"/>
      <c r="O56" s="252"/>
    </row>
    <row r="57" spans="1:15" ht="15.75" customHeight="1">
      <c r="A57" s="252"/>
      <c r="B57" s="252"/>
      <c r="C57" s="252"/>
      <c r="D57" s="252"/>
      <c r="E57" s="257"/>
      <c r="F57" s="252"/>
      <c r="G57" s="252"/>
      <c r="H57" s="252"/>
      <c r="I57" s="252"/>
      <c r="J57" s="252"/>
      <c r="K57" s="252"/>
      <c r="L57" s="252"/>
      <c r="M57" s="252"/>
      <c r="N57" s="252"/>
      <c r="O57" s="252"/>
    </row>
    <row r="58" spans="1:15" ht="15.75" customHeight="1">
      <c r="A58" s="252"/>
      <c r="B58" s="252"/>
      <c r="C58" s="252"/>
      <c r="D58" s="252"/>
      <c r="E58" s="257"/>
      <c r="F58" s="252"/>
      <c r="G58" s="252"/>
      <c r="H58" s="252"/>
      <c r="I58" s="252"/>
      <c r="J58" s="252"/>
      <c r="K58" s="252"/>
      <c r="L58" s="252"/>
      <c r="M58" s="252"/>
      <c r="N58" s="252"/>
      <c r="O58" s="252"/>
    </row>
    <row r="59" spans="1:15" ht="15.75" customHeight="1">
      <c r="A59" s="252"/>
      <c r="B59" s="252"/>
      <c r="C59" s="252"/>
      <c r="D59" s="252"/>
      <c r="E59" s="257"/>
      <c r="F59" s="252"/>
      <c r="G59" s="252"/>
      <c r="H59" s="252"/>
      <c r="I59" s="252"/>
      <c r="J59" s="252"/>
      <c r="K59" s="252"/>
      <c r="L59" s="252"/>
      <c r="M59" s="252"/>
      <c r="N59" s="252"/>
      <c r="O59" s="252"/>
    </row>
    <row r="60" spans="1:15" ht="15.75" customHeight="1">
      <c r="A60" s="252"/>
      <c r="B60" s="252"/>
      <c r="C60" s="252"/>
      <c r="D60" s="252"/>
      <c r="E60" s="257"/>
      <c r="F60" s="252"/>
      <c r="G60" s="252"/>
      <c r="H60" s="252"/>
      <c r="I60" s="252"/>
      <c r="J60" s="252"/>
      <c r="K60" s="252"/>
      <c r="L60" s="252"/>
      <c r="M60" s="252"/>
      <c r="N60" s="252"/>
      <c r="O60" s="252"/>
    </row>
    <row r="61" spans="1:15" ht="15.75" customHeight="1">
      <c r="A61" s="252"/>
      <c r="B61" s="252"/>
      <c r="C61" s="252"/>
      <c r="D61" s="252"/>
      <c r="E61" s="257"/>
      <c r="F61" s="252"/>
      <c r="G61" s="252"/>
      <c r="H61" s="252"/>
      <c r="I61" s="252"/>
      <c r="J61" s="252"/>
      <c r="K61" s="252"/>
      <c r="L61" s="252"/>
      <c r="M61" s="252"/>
      <c r="N61" s="252"/>
      <c r="O61" s="252"/>
    </row>
    <row r="62" spans="1:15" ht="15.75" customHeight="1">
      <c r="A62" s="252"/>
      <c r="B62" s="252"/>
      <c r="C62" s="252"/>
      <c r="D62" s="252"/>
      <c r="E62" s="257"/>
      <c r="F62" s="252"/>
      <c r="G62" s="252"/>
      <c r="H62" s="252"/>
      <c r="I62" s="252"/>
      <c r="J62" s="252"/>
      <c r="K62" s="252"/>
      <c r="L62" s="252"/>
      <c r="M62" s="252"/>
      <c r="N62" s="252"/>
      <c r="O62" s="252"/>
    </row>
    <row r="63" spans="1:15" ht="15.75" customHeight="1">
      <c r="A63" s="252"/>
      <c r="B63" s="252"/>
      <c r="C63" s="252"/>
      <c r="D63" s="252"/>
      <c r="E63" s="257"/>
      <c r="F63" s="252"/>
      <c r="G63" s="252"/>
      <c r="H63" s="252"/>
      <c r="I63" s="252"/>
      <c r="J63" s="252"/>
      <c r="K63" s="252"/>
      <c r="L63" s="252"/>
      <c r="M63" s="252"/>
      <c r="N63" s="252"/>
      <c r="O63" s="252"/>
    </row>
    <row r="64" spans="1:15" ht="15.75" customHeight="1">
      <c r="A64" s="252"/>
      <c r="B64" s="252"/>
      <c r="C64" s="252"/>
      <c r="D64" s="252"/>
      <c r="E64" s="257"/>
      <c r="F64" s="252"/>
      <c r="G64" s="252"/>
      <c r="H64" s="252"/>
      <c r="I64" s="252"/>
      <c r="J64" s="252"/>
      <c r="K64" s="252"/>
      <c r="L64" s="252"/>
      <c r="M64" s="252"/>
      <c r="N64" s="252"/>
      <c r="O64" s="252"/>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row r="1004" spans="5:5" ht="15.75" customHeight="1">
      <c r="E1004" s="9"/>
    </row>
    <row r="1005" spans="5:5" ht="15.75" customHeight="1">
      <c r="E1005" s="9"/>
    </row>
    <row r="1006" spans="5:5" ht="15.75" customHeight="1">
      <c r="E1006" s="9"/>
    </row>
    <row r="1007" spans="5:5" ht="15.75" customHeight="1">
      <c r="E1007" s="9"/>
    </row>
    <row r="1008" spans="5:5" ht="15.75" customHeight="1">
      <c r="E1008" s="9"/>
    </row>
    <row r="1009" spans="5:5" ht="15.75" customHeight="1">
      <c r="E1009" s="9"/>
    </row>
    <row r="1010" spans="5:5" ht="15.75" customHeight="1">
      <c r="E1010" s="9"/>
    </row>
    <row r="1011" spans="5:5" ht="15.75" customHeight="1">
      <c r="E1011" s="9"/>
    </row>
    <row r="1012" spans="5:5" ht="15.75" customHeight="1">
      <c r="E1012" s="9"/>
    </row>
    <row r="1013" spans="5:5" ht="15.75" customHeight="1">
      <c r="E1013" s="9"/>
    </row>
    <row r="1014" spans="5:5" ht="15.75" customHeight="1">
      <c r="E1014" s="9"/>
    </row>
    <row r="1015" spans="5:5" ht="15.75" customHeight="1">
      <c r="E1015" s="9"/>
    </row>
  </sheetData>
  <mergeCells count="53">
    <mergeCell ref="A6:B6"/>
    <mergeCell ref="A1:F2"/>
    <mergeCell ref="A3:I3"/>
    <mergeCell ref="A4:B5"/>
    <mergeCell ref="C4:F4"/>
    <mergeCell ref="G4:I4"/>
    <mergeCell ref="A18:B18"/>
    <mergeCell ref="A7:B7"/>
    <mergeCell ref="A8:B8"/>
    <mergeCell ref="A9:B9"/>
    <mergeCell ref="A10:B10"/>
    <mergeCell ref="A11:B11"/>
    <mergeCell ref="A12:B12"/>
    <mergeCell ref="A13:B13"/>
    <mergeCell ref="A14:B14"/>
    <mergeCell ref="A15:B15"/>
    <mergeCell ref="A16:B16"/>
    <mergeCell ref="A17:B17"/>
    <mergeCell ref="A30:B30"/>
    <mergeCell ref="A19:B19"/>
    <mergeCell ref="A20:B20"/>
    <mergeCell ref="A21:B21"/>
    <mergeCell ref="A22:B22"/>
    <mergeCell ref="A23:B23"/>
    <mergeCell ref="A24:B24"/>
    <mergeCell ref="A25:B25"/>
    <mergeCell ref="A26:B26"/>
    <mergeCell ref="A27:B27"/>
    <mergeCell ref="A28:B28"/>
    <mergeCell ref="A29:B29"/>
    <mergeCell ref="A41:B41"/>
    <mergeCell ref="C31:E31"/>
    <mergeCell ref="G31:H31"/>
    <mergeCell ref="A32:H32"/>
    <mergeCell ref="A33:I33"/>
    <mergeCell ref="A34:B35"/>
    <mergeCell ref="C34:F34"/>
    <mergeCell ref="G34:I34"/>
    <mergeCell ref="A36:B36"/>
    <mergeCell ref="A37:B37"/>
    <mergeCell ref="A38:B38"/>
    <mergeCell ref="A39:B39"/>
    <mergeCell ref="A40:B40"/>
    <mergeCell ref="A48:B48"/>
    <mergeCell ref="C49:E49"/>
    <mergeCell ref="G49:H49"/>
    <mergeCell ref="A50:H50"/>
    <mergeCell ref="A42:B42"/>
    <mergeCell ref="A43:B43"/>
    <mergeCell ref="A44:B44"/>
    <mergeCell ref="A45:B45"/>
    <mergeCell ref="A46:B46"/>
    <mergeCell ref="A47:B47"/>
  </mergeCells>
  <conditionalFormatting sqref="G2:H2">
    <cfRule type="expression" dxfId="8" priority="1" stopIfTrue="1">
      <formula>"MM/DD/YY"</formula>
    </cfRule>
  </conditionalFormatting>
  <printOptions horizontalCentered="1"/>
  <pageMargins left="0.75" right="0.75" top="1" bottom="1" header="0" footer="0"/>
  <pageSetup scale="74" fitToHeight="0" orientation="portrait" r:id="rId1"/>
  <rowBreaks count="1" manualBreakCount="1">
    <brk id="32" max="16383" man="1"/>
  </rowBreaks>
  <drawing r:id="rId2"/>
  <legacyDrawing r:id="rId3"/>
  <controls>
    <mc:AlternateContent xmlns:mc="http://schemas.openxmlformats.org/markup-compatibility/2006">
      <mc:Choice Requires="x14">
        <control shapeId="21505" r:id="rId4" name="CommandButton1">
          <controlPr defaultSize="0" autoLine="0" altText="Add A Row Command Button" r:id="rId5">
            <anchor moveWithCells="1">
              <from>
                <xdr:col>9</xdr:col>
                <xdr:colOff>279400</xdr:colOff>
                <xdr:row>29</xdr:row>
                <xdr:rowOff>12700</xdr:rowOff>
              </from>
              <to>
                <xdr:col>11</xdr:col>
                <xdr:colOff>406400</xdr:colOff>
                <xdr:row>30</xdr:row>
                <xdr:rowOff>25400</xdr:rowOff>
              </to>
            </anchor>
          </controlPr>
        </control>
      </mc:Choice>
      <mc:Fallback>
        <control shapeId="21505" r:id="rId4" name="CommandButton1"/>
      </mc:Fallback>
    </mc:AlternateContent>
  </control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B8FD1-B0EE-4AD7-B4FC-F02EE7B12C19}">
  <sheetPr codeName="Sheet21">
    <pageSetUpPr fitToPage="1"/>
  </sheetPr>
  <dimension ref="A1:Z1015"/>
  <sheetViews>
    <sheetView topLeftCell="C18" zoomScaleNormal="100" zoomScaleSheetLayoutView="90" workbookViewId="0">
      <selection activeCell="M16" sqref="M16"/>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193</v>
      </c>
      <c r="B1" s="387"/>
      <c r="C1" s="387"/>
      <c r="D1" s="387"/>
      <c r="E1" s="387"/>
      <c r="F1" s="387"/>
      <c r="G1" s="258" t="s">
        <v>165</v>
      </c>
      <c r="H1" s="259"/>
      <c r="I1" s="162" t="s">
        <v>166</v>
      </c>
      <c r="J1" s="252"/>
      <c r="K1" s="252"/>
      <c r="L1" s="252"/>
      <c r="M1" s="252"/>
      <c r="N1" s="252"/>
      <c r="O1" s="252"/>
    </row>
    <row r="2" spans="1:26" ht="15" customHeight="1" thickBot="1">
      <c r="A2" s="388"/>
      <c r="B2" s="389"/>
      <c r="C2" s="389"/>
      <c r="D2" s="389"/>
      <c r="E2" s="389"/>
      <c r="F2" s="389"/>
      <c r="G2" s="163" t="str">
        <f>IF(INPUT!C3=0,"",INPUT!C3)</f>
        <v>RLP # 36C248-25-R-0110 – EXHIBIT K</v>
      </c>
      <c r="H2" s="163"/>
      <c r="I2" s="164" t="str">
        <f>IF(INPUT!C10=0,"",INPUT!C10)</f>
        <v/>
      </c>
      <c r="J2" s="252"/>
      <c r="K2" s="252"/>
      <c r="L2" s="252"/>
      <c r="M2" s="252"/>
      <c r="N2" s="252"/>
      <c r="O2" s="252"/>
    </row>
    <row r="3" spans="1:26" s="10" customFormat="1" ht="36" customHeight="1" thickBot="1">
      <c r="A3" s="480" t="s">
        <v>194</v>
      </c>
      <c r="B3" s="402"/>
      <c r="C3" s="402"/>
      <c r="D3" s="402"/>
      <c r="E3" s="402"/>
      <c r="F3" s="402"/>
      <c r="G3" s="402"/>
      <c r="H3" s="402"/>
      <c r="I3" s="403"/>
      <c r="J3" s="253"/>
      <c r="K3" s="253"/>
      <c r="L3" s="253"/>
      <c r="M3" s="253"/>
      <c r="N3" s="253"/>
      <c r="O3" s="253"/>
    </row>
    <row r="4" spans="1:26" ht="15.5">
      <c r="A4" s="498" t="s">
        <v>93</v>
      </c>
      <c r="B4" s="499"/>
      <c r="C4" s="390" t="s">
        <v>91</v>
      </c>
      <c r="D4" s="382"/>
      <c r="E4" s="382"/>
      <c r="F4" s="383"/>
      <c r="G4" s="381" t="s">
        <v>92</v>
      </c>
      <c r="H4" s="382"/>
      <c r="I4" s="383"/>
      <c r="J4" s="252"/>
      <c r="K4" s="252"/>
      <c r="L4" s="252"/>
      <c r="M4" s="252"/>
      <c r="N4" s="252"/>
      <c r="O4" s="252"/>
    </row>
    <row r="5" spans="1:26" ht="15.75" customHeight="1" thickBot="1">
      <c r="A5" s="454"/>
      <c r="B5" s="500"/>
      <c r="C5" s="37" t="s">
        <v>129</v>
      </c>
      <c r="D5" s="27" t="s">
        <v>95</v>
      </c>
      <c r="E5" s="28" t="s">
        <v>61</v>
      </c>
      <c r="F5" s="38" t="s">
        <v>79</v>
      </c>
      <c r="G5" s="44" t="s">
        <v>96</v>
      </c>
      <c r="H5" s="30" t="s">
        <v>85</v>
      </c>
      <c r="I5" s="31" t="s">
        <v>79</v>
      </c>
      <c r="J5" s="252"/>
      <c r="K5" s="252"/>
      <c r="L5" s="252"/>
      <c r="M5" s="252"/>
      <c r="N5" s="252"/>
      <c r="O5" s="252"/>
    </row>
    <row r="6" spans="1:26" ht="21.75" customHeight="1">
      <c r="A6" s="476" t="s">
        <v>149</v>
      </c>
      <c r="B6" s="497"/>
      <c r="C6" s="34">
        <v>1</v>
      </c>
      <c r="D6" s="19" t="s">
        <v>148</v>
      </c>
      <c r="E6" s="11">
        <v>0</v>
      </c>
      <c r="F6" s="260">
        <f t="shared" ref="F6:F30" si="0">C6*E6</f>
        <v>0</v>
      </c>
      <c r="G6" s="34">
        <v>1</v>
      </c>
      <c r="H6" s="17">
        <v>0</v>
      </c>
      <c r="I6" s="261">
        <f t="shared" ref="I6:I30" si="1">G6*H6</f>
        <v>0</v>
      </c>
      <c r="J6" s="254"/>
      <c r="K6" s="254"/>
      <c r="L6" s="254"/>
      <c r="M6" s="254"/>
      <c r="N6" s="254"/>
      <c r="O6" s="254"/>
      <c r="P6" s="6"/>
      <c r="Q6" s="6"/>
      <c r="R6" s="6"/>
      <c r="S6" s="6"/>
      <c r="T6" s="6"/>
      <c r="U6" s="6"/>
      <c r="V6" s="6"/>
      <c r="W6" s="6"/>
      <c r="X6" s="6"/>
      <c r="Y6" s="6"/>
      <c r="Z6" s="6"/>
    </row>
    <row r="7" spans="1:26" ht="21.75" customHeight="1">
      <c r="A7" s="487"/>
      <c r="B7" s="495"/>
      <c r="C7" s="34"/>
      <c r="D7" s="19"/>
      <c r="E7" s="11"/>
      <c r="F7" s="260">
        <f>C7*E7</f>
        <v>0</v>
      </c>
      <c r="G7" s="43"/>
      <c r="H7" s="18"/>
      <c r="I7" s="179">
        <f t="shared" si="1"/>
        <v>0</v>
      </c>
      <c r="J7" s="254"/>
      <c r="K7" s="254"/>
      <c r="L7" s="254"/>
      <c r="M7" s="254"/>
      <c r="N7" s="254"/>
      <c r="O7" s="254"/>
      <c r="P7" s="6"/>
      <c r="Q7" s="6"/>
      <c r="R7" s="6"/>
      <c r="S7" s="6"/>
      <c r="T7" s="6"/>
      <c r="U7" s="6"/>
      <c r="V7" s="6"/>
      <c r="W7" s="6"/>
      <c r="X7" s="6"/>
      <c r="Y7" s="6"/>
      <c r="Z7" s="6"/>
    </row>
    <row r="8" spans="1:26" ht="21.75" customHeight="1">
      <c r="A8" s="487"/>
      <c r="B8" s="495"/>
      <c r="C8" s="34"/>
      <c r="D8" s="19"/>
      <c r="E8" s="11"/>
      <c r="F8" s="262">
        <f t="shared" si="0"/>
        <v>0</v>
      </c>
      <c r="G8" s="43"/>
      <c r="H8" s="18"/>
      <c r="I8" s="179">
        <f t="shared" si="1"/>
        <v>0</v>
      </c>
      <c r="J8" s="254"/>
      <c r="K8" s="254"/>
      <c r="L8" s="254"/>
      <c r="M8" s="254"/>
      <c r="N8" s="254"/>
      <c r="O8" s="254"/>
      <c r="P8" s="6"/>
      <c r="Q8" s="6"/>
      <c r="R8" s="6"/>
      <c r="S8" s="6"/>
      <c r="T8" s="6"/>
      <c r="U8" s="6"/>
      <c r="V8" s="6"/>
      <c r="W8" s="6"/>
      <c r="X8" s="6"/>
      <c r="Y8" s="6"/>
      <c r="Z8" s="6"/>
    </row>
    <row r="9" spans="1:26" ht="21.75" customHeight="1">
      <c r="A9" s="487"/>
      <c r="B9" s="495"/>
      <c r="C9" s="34"/>
      <c r="D9" s="19"/>
      <c r="E9" s="11"/>
      <c r="F9" s="262">
        <f t="shared" si="0"/>
        <v>0</v>
      </c>
      <c r="G9" s="43"/>
      <c r="H9" s="18"/>
      <c r="I9" s="179">
        <f t="shared" si="1"/>
        <v>0</v>
      </c>
      <c r="J9" s="254"/>
      <c r="K9" s="254"/>
      <c r="L9" s="254"/>
      <c r="M9" s="254"/>
      <c r="N9" s="254"/>
      <c r="O9" s="254"/>
      <c r="P9" s="6"/>
      <c r="Q9" s="6"/>
      <c r="R9" s="6"/>
      <c r="S9" s="6"/>
      <c r="T9" s="6"/>
      <c r="U9" s="6"/>
      <c r="V9" s="6"/>
      <c r="W9" s="6"/>
      <c r="X9" s="6"/>
      <c r="Y9" s="6"/>
      <c r="Z9" s="6"/>
    </row>
    <row r="10" spans="1:26" ht="21.75" customHeight="1">
      <c r="A10" s="487"/>
      <c r="B10" s="495"/>
      <c r="C10" s="34"/>
      <c r="D10" s="19"/>
      <c r="E10" s="11"/>
      <c r="F10" s="260">
        <f t="shared" si="0"/>
        <v>0</v>
      </c>
      <c r="G10" s="43"/>
      <c r="H10" s="18"/>
      <c r="I10" s="179">
        <f t="shared" si="1"/>
        <v>0</v>
      </c>
      <c r="J10" s="254"/>
      <c r="K10" s="254"/>
      <c r="L10" s="254"/>
      <c r="M10" s="254"/>
      <c r="N10" s="254"/>
      <c r="O10" s="254"/>
      <c r="P10" s="6"/>
      <c r="Q10" s="6"/>
      <c r="R10" s="6"/>
      <c r="S10" s="6"/>
      <c r="T10" s="6"/>
      <c r="U10" s="6"/>
      <c r="V10" s="6"/>
      <c r="W10" s="6"/>
      <c r="X10" s="6"/>
      <c r="Y10" s="6"/>
      <c r="Z10" s="6"/>
    </row>
    <row r="11" spans="1:26" ht="21.75" customHeight="1">
      <c r="A11" s="490"/>
      <c r="B11" s="496"/>
      <c r="C11" s="34"/>
      <c r="D11" s="19"/>
      <c r="E11" s="11"/>
      <c r="F11" s="260">
        <f t="shared" si="0"/>
        <v>0</v>
      </c>
      <c r="G11" s="43"/>
      <c r="H11" s="18"/>
      <c r="I11" s="179">
        <f t="shared" si="1"/>
        <v>0</v>
      </c>
      <c r="J11" s="254"/>
      <c r="K11" s="254"/>
      <c r="L11" s="254"/>
      <c r="M11" s="254"/>
      <c r="N11" s="254"/>
      <c r="O11" s="254"/>
      <c r="P11" s="6"/>
      <c r="Q11" s="6"/>
      <c r="R11" s="6"/>
      <c r="S11" s="6"/>
      <c r="T11" s="6"/>
      <c r="U11" s="6"/>
      <c r="V11" s="6"/>
      <c r="W11" s="6"/>
      <c r="X11" s="6"/>
      <c r="Y11" s="6"/>
      <c r="Z11" s="6"/>
    </row>
    <row r="12" spans="1:26" ht="21.75" customHeight="1">
      <c r="A12" s="487"/>
      <c r="B12" s="495"/>
      <c r="C12" s="34"/>
      <c r="D12" s="19"/>
      <c r="E12" s="11"/>
      <c r="F12" s="260">
        <f t="shared" si="0"/>
        <v>0</v>
      </c>
      <c r="G12" s="43"/>
      <c r="H12" s="18"/>
      <c r="I12" s="179">
        <f t="shared" si="1"/>
        <v>0</v>
      </c>
      <c r="J12" s="254"/>
      <c r="K12" s="254"/>
      <c r="L12" s="254"/>
      <c r="M12" s="254"/>
      <c r="N12" s="254"/>
      <c r="O12" s="254"/>
      <c r="P12" s="6"/>
      <c r="Q12" s="6"/>
      <c r="R12" s="6"/>
      <c r="S12" s="6"/>
      <c r="T12" s="6"/>
      <c r="U12" s="6"/>
      <c r="V12" s="6"/>
      <c r="W12" s="6"/>
      <c r="X12" s="6"/>
      <c r="Y12" s="6"/>
      <c r="Z12" s="6"/>
    </row>
    <row r="13" spans="1:26" ht="21.75" customHeight="1">
      <c r="A13" s="490"/>
      <c r="B13" s="496"/>
      <c r="C13" s="34"/>
      <c r="D13" s="19"/>
      <c r="E13" s="11"/>
      <c r="F13" s="260">
        <f t="shared" si="0"/>
        <v>0</v>
      </c>
      <c r="G13" s="43"/>
      <c r="H13" s="18"/>
      <c r="I13" s="179">
        <f t="shared" si="1"/>
        <v>0</v>
      </c>
      <c r="J13" s="254"/>
      <c r="K13" s="254"/>
      <c r="L13" s="254"/>
      <c r="M13" s="254"/>
      <c r="N13" s="254"/>
      <c r="O13" s="254"/>
      <c r="P13" s="6"/>
      <c r="Q13" s="6"/>
      <c r="R13" s="6"/>
      <c r="S13" s="6"/>
      <c r="T13" s="6"/>
      <c r="U13" s="6"/>
      <c r="V13" s="6"/>
      <c r="W13" s="6"/>
      <c r="X13" s="6"/>
      <c r="Y13" s="6"/>
      <c r="Z13" s="6"/>
    </row>
    <row r="14" spans="1:26" ht="21.75" customHeight="1">
      <c r="A14" s="490"/>
      <c r="B14" s="496"/>
      <c r="C14" s="34"/>
      <c r="D14" s="19"/>
      <c r="E14" s="11"/>
      <c r="F14" s="260">
        <f t="shared" si="0"/>
        <v>0</v>
      </c>
      <c r="G14" s="43"/>
      <c r="H14" s="18"/>
      <c r="I14" s="179">
        <f t="shared" si="1"/>
        <v>0</v>
      </c>
      <c r="J14" s="254"/>
      <c r="K14" s="254"/>
      <c r="L14" s="254"/>
      <c r="M14" s="254"/>
      <c r="N14" s="254"/>
      <c r="O14" s="254"/>
      <c r="P14" s="6"/>
      <c r="Q14" s="6"/>
      <c r="R14" s="6"/>
      <c r="S14" s="6"/>
      <c r="T14" s="6"/>
      <c r="U14" s="6"/>
      <c r="V14" s="6"/>
      <c r="W14" s="6"/>
      <c r="X14" s="6"/>
      <c r="Y14" s="6"/>
      <c r="Z14" s="6"/>
    </row>
    <row r="15" spans="1:26" ht="21.75" customHeight="1">
      <c r="A15" s="490"/>
      <c r="B15" s="496"/>
      <c r="C15" s="34"/>
      <c r="D15" s="19"/>
      <c r="E15" s="11"/>
      <c r="F15" s="260">
        <f t="shared" si="0"/>
        <v>0</v>
      </c>
      <c r="G15" s="43"/>
      <c r="H15" s="18"/>
      <c r="I15" s="179">
        <f t="shared" si="1"/>
        <v>0</v>
      </c>
      <c r="J15" s="254"/>
      <c r="K15" s="254"/>
      <c r="L15" s="254"/>
      <c r="M15" s="254"/>
      <c r="N15" s="254"/>
      <c r="O15" s="254"/>
      <c r="P15" s="6"/>
      <c r="Q15" s="6"/>
      <c r="R15" s="6"/>
      <c r="S15" s="6"/>
      <c r="T15" s="6"/>
      <c r="U15" s="6"/>
      <c r="V15" s="6"/>
      <c r="W15" s="6"/>
      <c r="X15" s="6"/>
      <c r="Y15" s="6"/>
      <c r="Z15" s="6"/>
    </row>
    <row r="16" spans="1:26" ht="21.75" customHeight="1">
      <c r="A16" s="490"/>
      <c r="B16" s="496"/>
      <c r="C16" s="34"/>
      <c r="D16" s="19"/>
      <c r="E16" s="11"/>
      <c r="F16" s="260">
        <f t="shared" si="0"/>
        <v>0</v>
      </c>
      <c r="G16" s="43"/>
      <c r="H16" s="18"/>
      <c r="I16" s="179">
        <f t="shared" si="1"/>
        <v>0</v>
      </c>
      <c r="J16" s="254"/>
      <c r="K16" s="254"/>
      <c r="L16" s="254"/>
      <c r="M16" s="254"/>
      <c r="N16" s="254"/>
      <c r="O16" s="254"/>
      <c r="P16" s="6"/>
      <c r="Q16" s="6"/>
      <c r="R16" s="6"/>
      <c r="S16" s="6"/>
      <c r="T16" s="6"/>
      <c r="U16" s="6"/>
      <c r="V16" s="6"/>
      <c r="W16" s="6"/>
      <c r="X16" s="6"/>
      <c r="Y16" s="6"/>
      <c r="Z16" s="6"/>
    </row>
    <row r="17" spans="1:26" ht="21.75" customHeight="1">
      <c r="A17" s="490"/>
      <c r="B17" s="496"/>
      <c r="C17" s="34"/>
      <c r="D17" s="19"/>
      <c r="E17" s="11"/>
      <c r="F17" s="260">
        <f t="shared" si="0"/>
        <v>0</v>
      </c>
      <c r="G17" s="43"/>
      <c r="H17" s="18"/>
      <c r="I17" s="179">
        <f t="shared" si="1"/>
        <v>0</v>
      </c>
      <c r="J17" s="254"/>
      <c r="K17" s="254"/>
      <c r="L17" s="254"/>
      <c r="M17" s="254"/>
      <c r="N17" s="254"/>
      <c r="O17" s="254"/>
      <c r="P17" s="6"/>
      <c r="Q17" s="6"/>
      <c r="R17" s="6"/>
      <c r="S17" s="6"/>
      <c r="T17" s="6"/>
      <c r="U17" s="6"/>
      <c r="V17" s="6"/>
      <c r="W17" s="6"/>
      <c r="X17" s="6"/>
      <c r="Y17" s="6"/>
      <c r="Z17" s="6"/>
    </row>
    <row r="18" spans="1:26" ht="21.75" customHeight="1">
      <c r="A18" s="490"/>
      <c r="B18" s="496"/>
      <c r="C18" s="34"/>
      <c r="D18" s="19"/>
      <c r="E18" s="11"/>
      <c r="F18" s="260">
        <f t="shared" si="0"/>
        <v>0</v>
      </c>
      <c r="G18" s="43"/>
      <c r="H18" s="18"/>
      <c r="I18" s="179">
        <f t="shared" si="1"/>
        <v>0</v>
      </c>
      <c r="J18" s="254"/>
      <c r="K18" s="254"/>
      <c r="L18" s="254"/>
      <c r="M18" s="254"/>
      <c r="N18" s="254"/>
      <c r="O18" s="254"/>
      <c r="P18" s="6"/>
      <c r="Q18" s="6"/>
      <c r="R18" s="6"/>
      <c r="S18" s="6"/>
      <c r="T18" s="6"/>
      <c r="U18" s="6"/>
      <c r="V18" s="6"/>
      <c r="W18" s="6"/>
      <c r="X18" s="6"/>
      <c r="Y18" s="6"/>
      <c r="Z18" s="6"/>
    </row>
    <row r="19" spans="1:26" ht="21.75" customHeight="1">
      <c r="A19" s="490"/>
      <c r="B19" s="496"/>
      <c r="C19" s="34"/>
      <c r="D19" s="19"/>
      <c r="E19" s="11"/>
      <c r="F19" s="260">
        <f t="shared" si="0"/>
        <v>0</v>
      </c>
      <c r="G19" s="43"/>
      <c r="H19" s="18"/>
      <c r="I19" s="179">
        <f t="shared" si="1"/>
        <v>0</v>
      </c>
      <c r="J19" s="254"/>
      <c r="K19" s="254"/>
      <c r="L19" s="254"/>
      <c r="M19" s="254"/>
      <c r="N19" s="254"/>
      <c r="O19" s="254"/>
      <c r="P19" s="6"/>
      <c r="Q19" s="6"/>
      <c r="R19" s="6"/>
      <c r="S19" s="6"/>
      <c r="T19" s="6"/>
      <c r="U19" s="6"/>
      <c r="V19" s="6"/>
      <c r="W19" s="6"/>
      <c r="X19" s="6"/>
      <c r="Y19" s="6"/>
      <c r="Z19" s="6"/>
    </row>
    <row r="20" spans="1:26" ht="21.75" customHeight="1">
      <c r="A20" s="490"/>
      <c r="B20" s="496"/>
      <c r="C20" s="34"/>
      <c r="D20" s="19"/>
      <c r="E20" s="11"/>
      <c r="F20" s="260">
        <f t="shared" si="0"/>
        <v>0</v>
      </c>
      <c r="G20" s="43"/>
      <c r="H20" s="18"/>
      <c r="I20" s="179">
        <f t="shared" si="1"/>
        <v>0</v>
      </c>
      <c r="J20" s="254"/>
      <c r="K20" s="254"/>
      <c r="L20" s="254"/>
      <c r="M20" s="254"/>
      <c r="N20" s="254"/>
      <c r="O20" s="254"/>
      <c r="P20" s="6"/>
      <c r="Q20" s="6"/>
      <c r="R20" s="6"/>
      <c r="S20" s="6"/>
      <c r="T20" s="6"/>
      <c r="U20" s="6"/>
      <c r="V20" s="6"/>
      <c r="W20" s="6"/>
      <c r="X20" s="6"/>
      <c r="Y20" s="6"/>
      <c r="Z20" s="6"/>
    </row>
    <row r="21" spans="1:26" ht="21.75" customHeight="1">
      <c r="A21" s="490"/>
      <c r="B21" s="496"/>
      <c r="C21" s="34"/>
      <c r="D21" s="19"/>
      <c r="E21" s="11"/>
      <c r="F21" s="260">
        <f t="shared" si="0"/>
        <v>0</v>
      </c>
      <c r="G21" s="43"/>
      <c r="H21" s="18"/>
      <c r="I21" s="179">
        <f t="shared" si="1"/>
        <v>0</v>
      </c>
      <c r="J21" s="254"/>
      <c r="K21" s="254"/>
      <c r="L21" s="254"/>
      <c r="M21" s="254"/>
      <c r="N21" s="254"/>
      <c r="O21" s="254"/>
      <c r="P21" s="6"/>
      <c r="Q21" s="6"/>
      <c r="R21" s="6"/>
      <c r="S21" s="6"/>
      <c r="T21" s="6"/>
      <c r="U21" s="6"/>
      <c r="V21" s="6"/>
      <c r="W21" s="6"/>
      <c r="X21" s="6"/>
      <c r="Y21" s="6"/>
      <c r="Z21" s="6"/>
    </row>
    <row r="22" spans="1:26" ht="21.75" customHeight="1">
      <c r="A22" s="490"/>
      <c r="B22" s="496"/>
      <c r="C22" s="34"/>
      <c r="D22" s="19"/>
      <c r="E22" s="11"/>
      <c r="F22" s="260">
        <f t="shared" si="0"/>
        <v>0</v>
      </c>
      <c r="G22" s="43"/>
      <c r="H22" s="18"/>
      <c r="I22" s="179">
        <f t="shared" si="1"/>
        <v>0</v>
      </c>
      <c r="J22" s="254"/>
      <c r="K22" s="254"/>
      <c r="L22" s="254"/>
      <c r="M22" s="254"/>
      <c r="N22" s="254"/>
      <c r="O22" s="254"/>
      <c r="P22" s="6"/>
      <c r="Q22" s="6"/>
      <c r="R22" s="6"/>
      <c r="S22" s="6"/>
      <c r="T22" s="6"/>
      <c r="U22" s="6"/>
      <c r="V22" s="6"/>
      <c r="W22" s="6"/>
      <c r="X22" s="6"/>
      <c r="Y22" s="6"/>
      <c r="Z22" s="6"/>
    </row>
    <row r="23" spans="1:26" ht="21.75" customHeight="1">
      <c r="A23" s="490"/>
      <c r="B23" s="496"/>
      <c r="C23" s="34"/>
      <c r="D23" s="19"/>
      <c r="E23" s="11"/>
      <c r="F23" s="260">
        <f t="shared" si="0"/>
        <v>0</v>
      </c>
      <c r="G23" s="43"/>
      <c r="H23" s="18"/>
      <c r="I23" s="179">
        <f t="shared" si="1"/>
        <v>0</v>
      </c>
      <c r="J23" s="254"/>
      <c r="K23" s="254"/>
      <c r="L23" s="254"/>
      <c r="M23" s="254"/>
      <c r="N23" s="254"/>
      <c r="O23" s="254"/>
      <c r="P23" s="6"/>
      <c r="Q23" s="6"/>
      <c r="R23" s="6"/>
      <c r="S23" s="6"/>
      <c r="T23" s="6"/>
      <c r="U23" s="6"/>
      <c r="V23" s="6"/>
      <c r="W23" s="6"/>
      <c r="X23" s="6"/>
      <c r="Y23" s="6"/>
      <c r="Z23" s="6"/>
    </row>
    <row r="24" spans="1:26" ht="21.75" customHeight="1">
      <c r="A24" s="487"/>
      <c r="B24" s="495"/>
      <c r="C24" s="34"/>
      <c r="D24" s="19"/>
      <c r="E24" s="11"/>
      <c r="F24" s="260">
        <f t="shared" si="0"/>
        <v>0</v>
      </c>
      <c r="G24" s="43"/>
      <c r="H24" s="18"/>
      <c r="I24" s="179">
        <f t="shared" si="1"/>
        <v>0</v>
      </c>
      <c r="J24" s="254"/>
      <c r="K24" s="254"/>
      <c r="L24" s="254"/>
      <c r="M24" s="254"/>
      <c r="N24" s="254"/>
      <c r="O24" s="254"/>
      <c r="P24" s="6"/>
      <c r="Q24" s="6"/>
      <c r="R24" s="6"/>
      <c r="S24" s="6"/>
      <c r="T24" s="6"/>
      <c r="U24" s="6"/>
      <c r="V24" s="6"/>
      <c r="W24" s="6"/>
      <c r="X24" s="6"/>
      <c r="Y24" s="6"/>
      <c r="Z24" s="6"/>
    </row>
    <row r="25" spans="1:26" ht="21.75" customHeight="1">
      <c r="A25" s="487"/>
      <c r="B25" s="495"/>
      <c r="C25" s="34"/>
      <c r="D25" s="19"/>
      <c r="E25" s="11"/>
      <c r="F25" s="260">
        <f t="shared" si="0"/>
        <v>0</v>
      </c>
      <c r="G25" s="43"/>
      <c r="H25" s="18"/>
      <c r="I25" s="179">
        <f t="shared" si="1"/>
        <v>0</v>
      </c>
      <c r="J25" s="254"/>
      <c r="K25" s="254"/>
      <c r="L25" s="254"/>
      <c r="M25" s="254"/>
      <c r="N25" s="254"/>
      <c r="O25" s="254"/>
      <c r="P25" s="6"/>
      <c r="Q25" s="6"/>
      <c r="R25" s="6"/>
      <c r="S25" s="6"/>
      <c r="T25" s="6"/>
      <c r="U25" s="6"/>
      <c r="V25" s="6"/>
      <c r="W25" s="6"/>
      <c r="X25" s="6"/>
      <c r="Y25" s="6"/>
      <c r="Z25" s="6"/>
    </row>
    <row r="26" spans="1:26" ht="21.75" customHeight="1">
      <c r="A26" s="487"/>
      <c r="B26" s="495"/>
      <c r="C26" s="34"/>
      <c r="D26" s="19"/>
      <c r="E26" s="11"/>
      <c r="F26" s="260">
        <f t="shared" si="0"/>
        <v>0</v>
      </c>
      <c r="G26" s="43"/>
      <c r="H26" s="18"/>
      <c r="I26" s="179">
        <f t="shared" si="1"/>
        <v>0</v>
      </c>
      <c r="J26" s="254"/>
      <c r="K26" s="254"/>
      <c r="L26" s="254"/>
      <c r="M26" s="254"/>
      <c r="N26" s="254"/>
      <c r="O26" s="254"/>
      <c r="P26" s="6"/>
      <c r="Q26" s="6"/>
      <c r="R26" s="6"/>
      <c r="S26" s="6"/>
      <c r="T26" s="6"/>
      <c r="U26" s="6"/>
      <c r="V26" s="6"/>
      <c r="W26" s="6"/>
      <c r="X26" s="6"/>
      <c r="Y26" s="6"/>
      <c r="Z26" s="6"/>
    </row>
    <row r="27" spans="1:26" ht="21.75" customHeight="1">
      <c r="A27" s="487"/>
      <c r="B27" s="495"/>
      <c r="C27" s="34"/>
      <c r="D27" s="19"/>
      <c r="E27" s="11"/>
      <c r="F27" s="260">
        <f t="shared" si="0"/>
        <v>0</v>
      </c>
      <c r="G27" s="43"/>
      <c r="H27" s="18"/>
      <c r="I27" s="179">
        <f t="shared" si="1"/>
        <v>0</v>
      </c>
      <c r="J27" s="254"/>
      <c r="K27" s="254"/>
      <c r="L27" s="254"/>
      <c r="M27" s="254"/>
      <c r="N27" s="254"/>
      <c r="O27" s="254"/>
      <c r="P27" s="6"/>
      <c r="Q27" s="6"/>
      <c r="R27" s="6"/>
      <c r="S27" s="6"/>
      <c r="T27" s="6"/>
      <c r="U27" s="6"/>
      <c r="V27" s="6"/>
      <c r="W27" s="6"/>
      <c r="X27" s="6"/>
      <c r="Y27" s="6"/>
      <c r="Z27" s="6"/>
    </row>
    <row r="28" spans="1:26" ht="21.75" customHeight="1">
      <c r="A28" s="487"/>
      <c r="B28" s="495"/>
      <c r="C28" s="34"/>
      <c r="D28" s="19"/>
      <c r="E28" s="11"/>
      <c r="F28" s="260">
        <f t="shared" si="0"/>
        <v>0</v>
      </c>
      <c r="G28" s="43"/>
      <c r="H28" s="18"/>
      <c r="I28" s="179">
        <f t="shared" si="1"/>
        <v>0</v>
      </c>
      <c r="J28" s="254"/>
      <c r="K28" s="254"/>
      <c r="L28" s="254"/>
      <c r="M28" s="254"/>
      <c r="N28" s="254"/>
      <c r="O28" s="254"/>
      <c r="P28" s="6"/>
      <c r="Q28" s="6"/>
      <c r="R28" s="6"/>
      <c r="S28" s="6"/>
      <c r="T28" s="6"/>
      <c r="U28" s="6"/>
      <c r="V28" s="6"/>
      <c r="W28" s="6"/>
      <c r="X28" s="6"/>
      <c r="Y28" s="6"/>
      <c r="Z28" s="6"/>
    </row>
    <row r="29" spans="1:26" ht="21.75" customHeight="1">
      <c r="A29" s="487"/>
      <c r="B29" s="495"/>
      <c r="C29" s="34"/>
      <c r="D29" s="19"/>
      <c r="E29" s="11"/>
      <c r="F29" s="260">
        <f t="shared" si="0"/>
        <v>0</v>
      </c>
      <c r="G29" s="43"/>
      <c r="H29" s="18"/>
      <c r="I29" s="179">
        <f t="shared" si="1"/>
        <v>0</v>
      </c>
      <c r="J29" s="254"/>
      <c r="K29" s="254"/>
      <c r="L29" s="254"/>
      <c r="M29" s="254"/>
      <c r="N29" s="254"/>
      <c r="O29" s="254"/>
      <c r="P29" s="6"/>
      <c r="Q29" s="6"/>
      <c r="R29" s="6"/>
      <c r="S29" s="6"/>
      <c r="T29" s="6"/>
      <c r="U29" s="6"/>
      <c r="V29" s="6"/>
      <c r="W29" s="6"/>
      <c r="X29" s="6"/>
      <c r="Y29" s="6"/>
      <c r="Z29" s="6"/>
    </row>
    <row r="30" spans="1:26" ht="21.75" customHeight="1">
      <c r="A30" s="487"/>
      <c r="B30" s="495"/>
      <c r="C30" s="34"/>
      <c r="D30" s="19"/>
      <c r="E30" s="11"/>
      <c r="F30" s="263">
        <f t="shared" si="0"/>
        <v>0</v>
      </c>
      <c r="G30" s="34"/>
      <c r="H30" s="22"/>
      <c r="I30" s="182">
        <f t="shared" si="1"/>
        <v>0</v>
      </c>
      <c r="J30" s="254"/>
      <c r="K30" s="254"/>
      <c r="L30" s="254"/>
      <c r="M30" s="254"/>
      <c r="N30" s="254"/>
      <c r="O30" s="254"/>
      <c r="P30" s="6"/>
      <c r="Q30" s="6"/>
      <c r="R30" s="6"/>
      <c r="S30" s="6"/>
      <c r="T30" s="6"/>
      <c r="U30" s="6"/>
      <c r="V30" s="6"/>
      <c r="W30" s="6"/>
      <c r="X30" s="6"/>
      <c r="Y30" s="6"/>
      <c r="Z30" s="6"/>
    </row>
    <row r="31" spans="1:26" ht="15.75" customHeight="1" thickBot="1">
      <c r="A31" s="23"/>
      <c r="B31" s="24"/>
      <c r="C31" s="467" t="s">
        <v>122</v>
      </c>
      <c r="D31" s="468"/>
      <c r="E31" s="468"/>
      <c r="F31" s="25">
        <f>SUM(F6:F30)</f>
        <v>0</v>
      </c>
      <c r="G31" s="467" t="s">
        <v>123</v>
      </c>
      <c r="H31" s="468"/>
      <c r="I31" s="25">
        <f>SUM(I6:I30)</f>
        <v>0</v>
      </c>
      <c r="J31" s="255"/>
      <c r="K31" s="255"/>
      <c r="L31" s="255"/>
      <c r="M31" s="255"/>
      <c r="N31" s="255"/>
      <c r="O31" s="255"/>
      <c r="P31" s="7"/>
      <c r="Q31" s="7"/>
      <c r="R31" s="7"/>
      <c r="S31" s="7"/>
      <c r="T31" s="7"/>
      <c r="U31" s="7"/>
      <c r="V31" s="7"/>
      <c r="W31" s="7"/>
      <c r="X31" s="7"/>
      <c r="Y31" s="7"/>
      <c r="Z31" s="7"/>
    </row>
    <row r="32" spans="1:26" ht="19.5" customHeight="1" thickBot="1">
      <c r="A32" s="469" t="s">
        <v>125</v>
      </c>
      <c r="B32" s="470"/>
      <c r="C32" s="470"/>
      <c r="D32" s="470"/>
      <c r="E32" s="470"/>
      <c r="F32" s="470"/>
      <c r="G32" s="470"/>
      <c r="H32" s="470"/>
      <c r="I32" s="26">
        <f>SUM(I31,F31)</f>
        <v>0</v>
      </c>
      <c r="J32" s="255"/>
      <c r="K32" s="255"/>
      <c r="L32" s="255"/>
      <c r="M32" s="255"/>
      <c r="N32" s="255"/>
      <c r="O32" s="255"/>
      <c r="P32" s="7"/>
      <c r="Q32" s="7"/>
      <c r="R32" s="7"/>
      <c r="S32" s="7"/>
      <c r="T32" s="7"/>
      <c r="U32" s="7"/>
      <c r="V32" s="7"/>
      <c r="W32" s="7"/>
      <c r="X32" s="7"/>
      <c r="Y32" s="7"/>
      <c r="Z32" s="7"/>
    </row>
    <row r="33" spans="1:26" ht="36" customHeight="1" thickBot="1">
      <c r="A33" s="477" t="s">
        <v>195</v>
      </c>
      <c r="B33" s="478"/>
      <c r="C33" s="478"/>
      <c r="D33" s="478"/>
      <c r="E33" s="478"/>
      <c r="F33" s="478"/>
      <c r="G33" s="478"/>
      <c r="H33" s="478"/>
      <c r="I33" s="479"/>
      <c r="J33" s="255"/>
      <c r="K33" s="255"/>
      <c r="L33" s="255"/>
      <c r="M33" s="255"/>
      <c r="N33" s="255"/>
      <c r="O33" s="255"/>
      <c r="P33" s="7"/>
      <c r="Q33" s="7"/>
      <c r="R33" s="7"/>
      <c r="S33" s="7"/>
      <c r="T33" s="7"/>
      <c r="U33" s="7"/>
      <c r="V33" s="7"/>
      <c r="W33" s="7"/>
      <c r="X33" s="7"/>
      <c r="Y33" s="7"/>
      <c r="Z33" s="7"/>
    </row>
    <row r="34" spans="1:26" ht="15.5">
      <c r="A34" s="452" t="s">
        <v>93</v>
      </c>
      <c r="B34" s="453"/>
      <c r="C34" s="390" t="s">
        <v>91</v>
      </c>
      <c r="D34" s="382"/>
      <c r="E34" s="382"/>
      <c r="F34" s="383"/>
      <c r="G34" s="381" t="s">
        <v>92</v>
      </c>
      <c r="H34" s="382"/>
      <c r="I34" s="383"/>
      <c r="J34" s="256"/>
      <c r="K34" s="256"/>
      <c r="L34" s="256"/>
      <c r="M34" s="256"/>
      <c r="N34" s="256"/>
      <c r="O34" s="256"/>
      <c r="P34" s="8"/>
      <c r="Q34" s="8"/>
      <c r="R34" s="8"/>
      <c r="S34" s="8"/>
      <c r="T34" s="8"/>
      <c r="U34" s="8"/>
      <c r="V34" s="8"/>
      <c r="W34" s="8"/>
      <c r="X34" s="8"/>
      <c r="Y34" s="8"/>
      <c r="Z34" s="8"/>
    </row>
    <row r="35" spans="1:26" ht="15.75" customHeight="1" thickBot="1">
      <c r="A35" s="454"/>
      <c r="B35" s="455"/>
      <c r="C35" s="37" t="s">
        <v>129</v>
      </c>
      <c r="D35" s="27" t="s">
        <v>95</v>
      </c>
      <c r="E35" s="28" t="s">
        <v>61</v>
      </c>
      <c r="F35" s="38" t="s">
        <v>79</v>
      </c>
      <c r="G35" s="44" t="s">
        <v>96</v>
      </c>
      <c r="H35" s="30" t="s">
        <v>85</v>
      </c>
      <c r="I35" s="31" t="s">
        <v>79</v>
      </c>
      <c r="J35" s="256"/>
      <c r="K35" s="256"/>
      <c r="L35" s="256"/>
      <c r="M35" s="256"/>
      <c r="N35" s="256"/>
      <c r="O35" s="256"/>
      <c r="P35" s="8"/>
      <c r="Q35" s="8"/>
      <c r="R35" s="8"/>
      <c r="S35" s="8"/>
      <c r="T35" s="8"/>
      <c r="U35" s="8"/>
      <c r="V35" s="8"/>
      <c r="W35" s="8"/>
      <c r="X35" s="8"/>
      <c r="Y35" s="8"/>
      <c r="Z35" s="8"/>
    </row>
    <row r="36" spans="1:26" ht="21.75" customHeight="1">
      <c r="A36" s="489"/>
      <c r="B36" s="488"/>
      <c r="C36" s="39">
        <v>1</v>
      </c>
      <c r="D36" s="20"/>
      <c r="E36" s="12">
        <v>0</v>
      </c>
      <c r="F36" s="40">
        <f t="shared" ref="F36:F48" si="2">C36*E36</f>
        <v>0</v>
      </c>
      <c r="G36" s="45">
        <v>1</v>
      </c>
      <c r="H36" s="12">
        <v>0</v>
      </c>
      <c r="I36" s="264">
        <f>G36*H36</f>
        <v>0</v>
      </c>
      <c r="J36" s="252"/>
      <c r="K36" s="252"/>
      <c r="L36" s="252"/>
      <c r="M36" s="252"/>
      <c r="N36" s="252"/>
      <c r="O36" s="252"/>
    </row>
    <row r="37" spans="1:26" ht="21.75" customHeight="1">
      <c r="A37" s="489"/>
      <c r="B37" s="488"/>
      <c r="C37" s="39"/>
      <c r="D37" s="20"/>
      <c r="E37" s="12"/>
      <c r="F37" s="40">
        <f t="shared" si="2"/>
        <v>0</v>
      </c>
      <c r="G37" s="45"/>
      <c r="H37" s="12"/>
      <c r="I37" s="206">
        <f t="shared" ref="I37:I48" si="3">G37*H37</f>
        <v>0</v>
      </c>
      <c r="J37" s="252"/>
      <c r="K37" s="252"/>
      <c r="L37" s="252"/>
      <c r="M37" s="252"/>
      <c r="N37" s="252"/>
      <c r="O37" s="252"/>
    </row>
    <row r="38" spans="1:26" ht="21.75" customHeight="1">
      <c r="A38" s="489"/>
      <c r="B38" s="488"/>
      <c r="C38" s="39"/>
      <c r="D38" s="20"/>
      <c r="E38" s="12"/>
      <c r="F38" s="40">
        <f t="shared" si="2"/>
        <v>0</v>
      </c>
      <c r="G38" s="45"/>
      <c r="H38" s="12"/>
      <c r="I38" s="206">
        <f t="shared" si="3"/>
        <v>0</v>
      </c>
      <c r="J38" s="252"/>
      <c r="K38" s="252"/>
      <c r="L38" s="252"/>
      <c r="M38" s="252"/>
      <c r="N38" s="252"/>
      <c r="O38" s="252"/>
    </row>
    <row r="39" spans="1:26" ht="21.75" customHeight="1">
      <c r="A39" s="489"/>
      <c r="B39" s="488"/>
      <c r="C39" s="39"/>
      <c r="D39" s="20"/>
      <c r="E39" s="12"/>
      <c r="F39" s="40">
        <f t="shared" si="2"/>
        <v>0</v>
      </c>
      <c r="G39" s="45"/>
      <c r="H39" s="12"/>
      <c r="I39" s="206">
        <f t="shared" si="3"/>
        <v>0</v>
      </c>
      <c r="J39" s="252"/>
      <c r="K39" s="252"/>
      <c r="L39" s="252"/>
      <c r="M39" s="252"/>
      <c r="N39" s="252"/>
      <c r="O39" s="252"/>
    </row>
    <row r="40" spans="1:26" ht="21.75" customHeight="1">
      <c r="A40" s="489"/>
      <c r="B40" s="488"/>
      <c r="C40" s="39"/>
      <c r="D40" s="20"/>
      <c r="E40" s="12"/>
      <c r="F40" s="40">
        <f t="shared" si="2"/>
        <v>0</v>
      </c>
      <c r="G40" s="45"/>
      <c r="H40" s="12"/>
      <c r="I40" s="206">
        <f t="shared" si="3"/>
        <v>0</v>
      </c>
      <c r="J40" s="252"/>
      <c r="K40" s="252"/>
      <c r="L40" s="252"/>
      <c r="M40" s="252"/>
      <c r="N40" s="252"/>
      <c r="O40" s="252"/>
    </row>
    <row r="41" spans="1:26" ht="21.75" customHeight="1">
      <c r="A41" s="489"/>
      <c r="B41" s="488"/>
      <c r="C41" s="39"/>
      <c r="D41" s="20"/>
      <c r="E41" s="12"/>
      <c r="F41" s="40">
        <f t="shared" si="2"/>
        <v>0</v>
      </c>
      <c r="G41" s="45"/>
      <c r="H41" s="12"/>
      <c r="I41" s="206">
        <f t="shared" si="3"/>
        <v>0</v>
      </c>
      <c r="J41" s="252"/>
      <c r="K41" s="252"/>
      <c r="L41" s="252"/>
      <c r="M41" s="252"/>
      <c r="N41" s="252"/>
      <c r="O41" s="252"/>
    </row>
    <row r="42" spans="1:26" ht="21.75" customHeight="1">
      <c r="A42" s="489"/>
      <c r="B42" s="488"/>
      <c r="C42" s="39"/>
      <c r="D42" s="20"/>
      <c r="E42" s="12"/>
      <c r="F42" s="40">
        <f t="shared" si="2"/>
        <v>0</v>
      </c>
      <c r="G42" s="45"/>
      <c r="H42" s="12"/>
      <c r="I42" s="206">
        <f t="shared" si="3"/>
        <v>0</v>
      </c>
      <c r="J42" s="252"/>
      <c r="K42" s="252"/>
      <c r="L42" s="252"/>
      <c r="M42" s="252"/>
      <c r="N42" s="252"/>
      <c r="O42" s="252"/>
    </row>
    <row r="43" spans="1:26" ht="21.75" customHeight="1">
      <c r="A43" s="489"/>
      <c r="B43" s="488"/>
      <c r="C43" s="39"/>
      <c r="D43" s="20"/>
      <c r="E43" s="12"/>
      <c r="F43" s="40">
        <f t="shared" si="2"/>
        <v>0</v>
      </c>
      <c r="G43" s="45"/>
      <c r="H43" s="12"/>
      <c r="I43" s="206">
        <f t="shared" si="3"/>
        <v>0</v>
      </c>
      <c r="J43" s="252"/>
      <c r="K43" s="252"/>
      <c r="L43" s="252"/>
      <c r="M43" s="252"/>
      <c r="N43" s="252"/>
      <c r="O43" s="252"/>
    </row>
    <row r="44" spans="1:26" ht="21.75" customHeight="1">
      <c r="A44" s="489"/>
      <c r="B44" s="488"/>
      <c r="C44" s="39"/>
      <c r="D44" s="20"/>
      <c r="E44" s="12"/>
      <c r="F44" s="40">
        <f t="shared" si="2"/>
        <v>0</v>
      </c>
      <c r="G44" s="45"/>
      <c r="H44" s="12"/>
      <c r="I44" s="206">
        <f t="shared" si="3"/>
        <v>0</v>
      </c>
      <c r="J44" s="252"/>
      <c r="K44" s="252"/>
      <c r="L44" s="252"/>
      <c r="M44" s="252"/>
      <c r="N44" s="252"/>
      <c r="O44" s="252"/>
    </row>
    <row r="45" spans="1:26" ht="21.75" customHeight="1">
      <c r="A45" s="489"/>
      <c r="B45" s="488"/>
      <c r="C45" s="39"/>
      <c r="D45" s="20"/>
      <c r="E45" s="12"/>
      <c r="F45" s="40">
        <f t="shared" si="2"/>
        <v>0</v>
      </c>
      <c r="G45" s="45"/>
      <c r="H45" s="12"/>
      <c r="I45" s="206">
        <f t="shared" si="3"/>
        <v>0</v>
      </c>
      <c r="J45" s="252"/>
      <c r="K45" s="252"/>
      <c r="L45" s="252"/>
      <c r="M45" s="252"/>
      <c r="N45" s="252"/>
      <c r="O45" s="252"/>
    </row>
    <row r="46" spans="1:26" ht="21.75" customHeight="1">
      <c r="A46" s="489"/>
      <c r="B46" s="488"/>
      <c r="C46" s="39"/>
      <c r="D46" s="20"/>
      <c r="E46" s="12"/>
      <c r="F46" s="40">
        <f t="shared" si="2"/>
        <v>0</v>
      </c>
      <c r="G46" s="45"/>
      <c r="H46" s="12"/>
      <c r="I46" s="206">
        <f t="shared" si="3"/>
        <v>0</v>
      </c>
      <c r="J46" s="252"/>
      <c r="K46" s="252"/>
      <c r="L46" s="252"/>
      <c r="M46" s="252"/>
      <c r="N46" s="252"/>
      <c r="O46" s="252"/>
    </row>
    <row r="47" spans="1:26" ht="21.75" customHeight="1">
      <c r="A47" s="489"/>
      <c r="B47" s="488"/>
      <c r="C47" s="39"/>
      <c r="D47" s="20"/>
      <c r="E47" s="12"/>
      <c r="F47" s="40">
        <f t="shared" si="2"/>
        <v>0</v>
      </c>
      <c r="G47" s="45"/>
      <c r="H47" s="12"/>
      <c r="I47" s="206">
        <f t="shared" si="3"/>
        <v>0</v>
      </c>
      <c r="J47" s="252"/>
      <c r="K47" s="252"/>
      <c r="L47" s="252"/>
      <c r="M47" s="252"/>
      <c r="N47" s="252"/>
      <c r="O47" s="252"/>
    </row>
    <row r="48" spans="1:26" ht="21.75" customHeight="1">
      <c r="A48" s="489"/>
      <c r="B48" s="488"/>
      <c r="C48" s="39"/>
      <c r="D48" s="20"/>
      <c r="E48" s="12"/>
      <c r="F48" s="40">
        <f t="shared" si="2"/>
        <v>0</v>
      </c>
      <c r="G48" s="45"/>
      <c r="H48" s="12"/>
      <c r="I48" s="206">
        <f t="shared" si="3"/>
        <v>0</v>
      </c>
      <c r="J48" s="252"/>
      <c r="K48" s="252"/>
      <c r="L48" s="252"/>
      <c r="M48" s="252"/>
      <c r="N48" s="252"/>
      <c r="O48" s="252"/>
    </row>
    <row r="49" spans="1:15" ht="15.75" customHeight="1" thickBot="1">
      <c r="A49" s="46"/>
      <c r="B49" s="47"/>
      <c r="C49" s="473" t="s">
        <v>122</v>
      </c>
      <c r="D49" s="474"/>
      <c r="E49" s="475"/>
      <c r="F49" s="266">
        <f>SUM(F36:F48)</f>
        <v>0</v>
      </c>
      <c r="G49" s="473" t="s">
        <v>123</v>
      </c>
      <c r="H49" s="475"/>
      <c r="I49" s="266">
        <f>SUM(I36:I48)</f>
        <v>0</v>
      </c>
      <c r="J49" s="252"/>
      <c r="K49" s="252"/>
      <c r="L49" s="252"/>
      <c r="M49" s="252"/>
      <c r="N49" s="252"/>
      <c r="O49" s="252"/>
    </row>
    <row r="50" spans="1:15" ht="20.149999999999999" customHeight="1" thickBot="1">
      <c r="A50" s="469" t="s">
        <v>124</v>
      </c>
      <c r="B50" s="470"/>
      <c r="C50" s="470"/>
      <c r="D50" s="470"/>
      <c r="E50" s="470"/>
      <c r="F50" s="470"/>
      <c r="G50" s="470"/>
      <c r="H50" s="470"/>
      <c r="I50" s="267">
        <f>SUM(I49,F49)</f>
        <v>0</v>
      </c>
      <c r="J50" s="252"/>
      <c r="K50" s="252"/>
      <c r="L50" s="252"/>
      <c r="M50" s="252"/>
      <c r="N50" s="252"/>
      <c r="O50" s="252"/>
    </row>
    <row r="51" spans="1:15" ht="15.75" customHeight="1">
      <c r="A51" s="252"/>
      <c r="B51" s="252"/>
      <c r="C51" s="252"/>
      <c r="D51" s="252"/>
      <c r="E51" s="257"/>
      <c r="F51" s="252"/>
      <c r="G51" s="252"/>
      <c r="H51" s="252"/>
      <c r="I51" s="252"/>
      <c r="J51" s="252"/>
      <c r="K51" s="252"/>
      <c r="L51" s="252"/>
      <c r="M51" s="252"/>
      <c r="N51" s="252"/>
      <c r="O51" s="252"/>
    </row>
    <row r="52" spans="1:15" ht="15.75" customHeight="1">
      <c r="A52" s="252"/>
      <c r="B52" s="252"/>
      <c r="C52" s="252"/>
      <c r="D52" s="252"/>
      <c r="E52" s="257"/>
      <c r="F52" s="252"/>
      <c r="G52" s="252"/>
      <c r="H52" s="252"/>
      <c r="I52" s="252"/>
      <c r="J52" s="252"/>
      <c r="K52" s="252"/>
      <c r="L52" s="252"/>
      <c r="M52" s="252"/>
      <c r="N52" s="252"/>
      <c r="O52" s="252"/>
    </row>
    <row r="53" spans="1:15" ht="15.75" customHeight="1">
      <c r="A53" s="252"/>
      <c r="B53" s="252"/>
      <c r="C53" s="252"/>
      <c r="D53" s="252"/>
      <c r="E53" s="257"/>
      <c r="F53" s="252"/>
      <c r="G53" s="252"/>
      <c r="H53" s="252"/>
      <c r="I53" s="252"/>
      <c r="J53" s="252"/>
      <c r="K53" s="252"/>
      <c r="L53" s="252"/>
      <c r="M53" s="252"/>
      <c r="N53" s="252"/>
      <c r="O53" s="252"/>
    </row>
    <row r="54" spans="1:15" ht="15.75" customHeight="1">
      <c r="A54" s="252"/>
      <c r="B54" s="252"/>
      <c r="C54" s="252"/>
      <c r="D54" s="252"/>
      <c r="E54" s="257"/>
      <c r="F54" s="252"/>
      <c r="G54" s="252"/>
      <c r="H54" s="252"/>
      <c r="I54" s="252"/>
      <c r="J54" s="252"/>
      <c r="K54" s="252"/>
      <c r="L54" s="252"/>
      <c r="M54" s="252"/>
      <c r="N54" s="252"/>
      <c r="O54" s="252"/>
    </row>
    <row r="55" spans="1:15" ht="15.75" customHeight="1">
      <c r="A55" s="252"/>
      <c r="B55" s="252"/>
      <c r="C55" s="252"/>
      <c r="D55" s="252"/>
      <c r="E55" s="257"/>
      <c r="F55" s="252"/>
      <c r="G55" s="252"/>
      <c r="H55" s="252"/>
      <c r="I55" s="252"/>
      <c r="J55" s="252"/>
      <c r="K55" s="252"/>
      <c r="L55" s="252"/>
      <c r="M55" s="252"/>
      <c r="N55" s="252"/>
      <c r="O55" s="252"/>
    </row>
    <row r="56" spans="1:15" ht="15.75" customHeight="1">
      <c r="A56" s="252"/>
      <c r="B56" s="252"/>
      <c r="C56" s="252"/>
      <c r="D56" s="252"/>
      <c r="E56" s="257"/>
      <c r="F56" s="252"/>
      <c r="G56" s="252"/>
      <c r="H56" s="252"/>
      <c r="I56" s="252"/>
      <c r="J56" s="252"/>
      <c r="K56" s="252"/>
      <c r="L56" s="252"/>
      <c r="M56" s="252"/>
      <c r="N56" s="252"/>
      <c r="O56" s="252"/>
    </row>
    <row r="57" spans="1:15" ht="15.75" customHeight="1">
      <c r="A57" s="252"/>
      <c r="B57" s="252"/>
      <c r="C57" s="252"/>
      <c r="D57" s="252"/>
      <c r="E57" s="257"/>
      <c r="F57" s="252"/>
      <c r="G57" s="252"/>
      <c r="H57" s="252"/>
      <c r="I57" s="252"/>
      <c r="J57" s="252"/>
      <c r="K57" s="252"/>
      <c r="L57" s="252"/>
      <c r="M57" s="252"/>
      <c r="N57" s="252"/>
      <c r="O57" s="252"/>
    </row>
    <row r="58" spans="1:15" ht="15.75" customHeight="1">
      <c r="A58" s="252"/>
      <c r="B58" s="252"/>
      <c r="C58" s="252"/>
      <c r="D58" s="252"/>
      <c r="E58" s="257"/>
      <c r="F58" s="252"/>
      <c r="G58" s="252"/>
      <c r="H58" s="252"/>
      <c r="I58" s="252"/>
      <c r="J58" s="252"/>
      <c r="K58" s="252"/>
      <c r="L58" s="252"/>
      <c r="M58" s="252"/>
      <c r="N58" s="252"/>
      <c r="O58" s="252"/>
    </row>
    <row r="59" spans="1:15" ht="15.75" customHeight="1">
      <c r="A59" s="252"/>
      <c r="B59" s="252"/>
      <c r="C59" s="252"/>
      <c r="D59" s="252"/>
      <c r="E59" s="257"/>
      <c r="F59" s="252"/>
      <c r="G59" s="252"/>
      <c r="H59" s="252"/>
      <c r="I59" s="252"/>
      <c r="J59" s="252"/>
      <c r="K59" s="252"/>
      <c r="L59" s="252"/>
      <c r="M59" s="252"/>
      <c r="N59" s="252"/>
      <c r="O59" s="252"/>
    </row>
    <row r="60" spans="1:15" ht="15.75" customHeight="1">
      <c r="A60" s="252"/>
      <c r="B60" s="252"/>
      <c r="C60" s="252"/>
      <c r="D60" s="252"/>
      <c r="E60" s="257"/>
      <c r="F60" s="252"/>
      <c r="G60" s="252"/>
      <c r="H60" s="252"/>
      <c r="I60" s="252"/>
      <c r="J60" s="252"/>
      <c r="K60" s="252"/>
      <c r="L60" s="252"/>
      <c r="M60" s="252"/>
      <c r="N60" s="252"/>
      <c r="O60" s="252"/>
    </row>
    <row r="61" spans="1:15" ht="15.75" customHeight="1">
      <c r="A61" s="252"/>
      <c r="B61" s="252"/>
      <c r="C61" s="252"/>
      <c r="D61" s="252"/>
      <c r="E61" s="257"/>
      <c r="F61" s="252"/>
      <c r="G61" s="252"/>
      <c r="H61" s="252"/>
      <c r="I61" s="252"/>
      <c r="J61" s="252"/>
      <c r="K61" s="252"/>
      <c r="L61" s="252"/>
      <c r="M61" s="252"/>
      <c r="N61" s="252"/>
      <c r="O61" s="252"/>
    </row>
    <row r="62" spans="1:15" ht="15.75" customHeight="1">
      <c r="A62" s="252"/>
      <c r="B62" s="252"/>
      <c r="C62" s="252"/>
      <c r="D62" s="252"/>
      <c r="E62" s="257"/>
      <c r="F62" s="252"/>
      <c r="G62" s="252"/>
      <c r="H62" s="252"/>
      <c r="I62" s="252"/>
      <c r="J62" s="252"/>
      <c r="K62" s="252"/>
      <c r="L62" s="252"/>
      <c r="M62" s="252"/>
      <c r="N62" s="252"/>
      <c r="O62" s="252"/>
    </row>
    <row r="63" spans="1:15" ht="15.75" customHeight="1">
      <c r="A63" s="252"/>
      <c r="B63" s="252"/>
      <c r="C63" s="252"/>
      <c r="D63" s="252"/>
      <c r="E63" s="257"/>
      <c r="F63" s="252"/>
      <c r="G63" s="252"/>
      <c r="H63" s="252"/>
      <c r="I63" s="252"/>
      <c r="J63" s="252"/>
      <c r="K63" s="252"/>
      <c r="L63" s="252"/>
      <c r="M63" s="252"/>
      <c r="N63" s="252"/>
      <c r="O63" s="252"/>
    </row>
    <row r="64" spans="1:15" ht="15.75" customHeight="1">
      <c r="A64" s="252"/>
      <c r="B64" s="252"/>
      <c r="C64" s="252"/>
      <c r="D64" s="252"/>
      <c r="E64" s="257"/>
      <c r="F64" s="252"/>
      <c r="G64" s="252"/>
      <c r="H64" s="252"/>
      <c r="I64" s="252"/>
      <c r="J64" s="252"/>
      <c r="K64" s="252"/>
      <c r="L64" s="252"/>
      <c r="M64" s="252"/>
      <c r="N64" s="252"/>
      <c r="O64" s="252"/>
    </row>
    <row r="65" spans="1:15" ht="15.75" customHeight="1">
      <c r="A65" s="252"/>
      <c r="B65" s="252"/>
      <c r="C65" s="252"/>
      <c r="D65" s="252"/>
      <c r="E65" s="257"/>
      <c r="F65" s="252"/>
      <c r="G65" s="252"/>
      <c r="H65" s="252"/>
      <c r="I65" s="252"/>
      <c r="J65" s="252"/>
      <c r="K65" s="252"/>
      <c r="L65" s="252"/>
      <c r="M65" s="252"/>
      <c r="N65" s="252"/>
      <c r="O65" s="252"/>
    </row>
    <row r="66" spans="1:15" ht="15.75" customHeight="1">
      <c r="A66" s="252"/>
      <c r="B66" s="252"/>
      <c r="C66" s="252"/>
      <c r="D66" s="252"/>
      <c r="E66" s="257"/>
      <c r="F66" s="252"/>
      <c r="G66" s="252"/>
      <c r="H66" s="252"/>
      <c r="I66" s="252"/>
      <c r="J66" s="252"/>
      <c r="K66" s="252"/>
      <c r="L66" s="252"/>
      <c r="M66" s="252"/>
      <c r="N66" s="252"/>
      <c r="O66" s="252"/>
    </row>
    <row r="67" spans="1:15" ht="15.75" customHeight="1">
      <c r="E67" s="9"/>
    </row>
    <row r="68" spans="1:15" ht="15.75" customHeight="1">
      <c r="E68" s="9"/>
    </row>
    <row r="69" spans="1:15" ht="15.75" customHeight="1">
      <c r="E69" s="9"/>
    </row>
    <row r="70" spans="1:15" ht="15.75" customHeight="1">
      <c r="E70" s="9"/>
    </row>
    <row r="71" spans="1:15" ht="15.75" customHeight="1">
      <c r="E71" s="9"/>
    </row>
    <row r="72" spans="1:15" ht="15.75" customHeight="1">
      <c r="E72" s="9"/>
    </row>
    <row r="73" spans="1:15" ht="15.75" customHeight="1">
      <c r="E73" s="9"/>
    </row>
    <row r="74" spans="1:15" ht="15.75" customHeight="1">
      <c r="E74" s="9"/>
    </row>
    <row r="75" spans="1:15" ht="15.75" customHeight="1">
      <c r="E75" s="9"/>
    </row>
    <row r="76" spans="1:15" ht="15.75" customHeight="1">
      <c r="E76" s="9"/>
    </row>
    <row r="77" spans="1:15" ht="15.75" customHeight="1">
      <c r="E77" s="9"/>
    </row>
    <row r="78" spans="1:15" ht="15.75" customHeight="1">
      <c r="E78" s="9"/>
    </row>
    <row r="79" spans="1:15" ht="15.75" customHeight="1">
      <c r="E79" s="9"/>
    </row>
    <row r="80" spans="1:1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row r="1004" spans="5:5" ht="15.75" customHeight="1">
      <c r="E1004" s="9"/>
    </row>
    <row r="1005" spans="5:5" ht="15.75" customHeight="1">
      <c r="E1005" s="9"/>
    </row>
    <row r="1006" spans="5:5" ht="15.75" customHeight="1">
      <c r="E1006" s="9"/>
    </row>
    <row r="1007" spans="5:5" ht="15.75" customHeight="1">
      <c r="E1007" s="9"/>
    </row>
    <row r="1008" spans="5:5" ht="15.75" customHeight="1">
      <c r="E1008" s="9"/>
    </row>
    <row r="1009" spans="5:5" ht="15.75" customHeight="1">
      <c r="E1009" s="9"/>
    </row>
    <row r="1010" spans="5:5" ht="15.75" customHeight="1">
      <c r="E1010" s="9"/>
    </row>
    <row r="1011" spans="5:5" ht="15.75" customHeight="1">
      <c r="E1011" s="9"/>
    </row>
    <row r="1012" spans="5:5" ht="15.75" customHeight="1">
      <c r="E1012" s="9"/>
    </row>
    <row r="1013" spans="5:5" ht="15.75" customHeight="1">
      <c r="E1013" s="9"/>
    </row>
    <row r="1014" spans="5:5" ht="15.75" customHeight="1">
      <c r="E1014" s="9"/>
    </row>
    <row r="1015" spans="5:5" ht="15.75" customHeight="1">
      <c r="E1015" s="9"/>
    </row>
  </sheetData>
  <mergeCells count="53">
    <mergeCell ref="A6:B6"/>
    <mergeCell ref="A1:F2"/>
    <mergeCell ref="A3:I3"/>
    <mergeCell ref="A4:B5"/>
    <mergeCell ref="C4:F4"/>
    <mergeCell ref="G4:I4"/>
    <mergeCell ref="A18:B18"/>
    <mergeCell ref="A7:B7"/>
    <mergeCell ref="A8:B8"/>
    <mergeCell ref="A9:B9"/>
    <mergeCell ref="A10:B10"/>
    <mergeCell ref="A11:B11"/>
    <mergeCell ref="A12:B12"/>
    <mergeCell ref="A13:B13"/>
    <mergeCell ref="A14:B14"/>
    <mergeCell ref="A15:B15"/>
    <mergeCell ref="A16:B16"/>
    <mergeCell ref="A17:B17"/>
    <mergeCell ref="A30:B30"/>
    <mergeCell ref="A19:B19"/>
    <mergeCell ref="A20:B20"/>
    <mergeCell ref="A21:B21"/>
    <mergeCell ref="A22:B22"/>
    <mergeCell ref="A23:B23"/>
    <mergeCell ref="A24:B24"/>
    <mergeCell ref="A25:B25"/>
    <mergeCell ref="A26:B26"/>
    <mergeCell ref="A27:B27"/>
    <mergeCell ref="A28:B28"/>
    <mergeCell ref="A29:B29"/>
    <mergeCell ref="A41:B41"/>
    <mergeCell ref="C31:E31"/>
    <mergeCell ref="G31:H31"/>
    <mergeCell ref="A32:H32"/>
    <mergeCell ref="A33:I33"/>
    <mergeCell ref="A34:B35"/>
    <mergeCell ref="C34:F34"/>
    <mergeCell ref="G34:I34"/>
    <mergeCell ref="A36:B36"/>
    <mergeCell ref="A37:B37"/>
    <mergeCell ref="A38:B38"/>
    <mergeCell ref="A39:B39"/>
    <mergeCell ref="A40:B40"/>
    <mergeCell ref="A48:B48"/>
    <mergeCell ref="C49:E49"/>
    <mergeCell ref="G49:H49"/>
    <mergeCell ref="A50:H50"/>
    <mergeCell ref="A42:B42"/>
    <mergeCell ref="A43:B43"/>
    <mergeCell ref="A44:B44"/>
    <mergeCell ref="A45:B45"/>
    <mergeCell ref="A46:B46"/>
    <mergeCell ref="A47:B47"/>
  </mergeCells>
  <conditionalFormatting sqref="G2:H2">
    <cfRule type="expression" dxfId="7" priority="1" stopIfTrue="1">
      <formula>"MM/DD/YY"</formula>
    </cfRule>
  </conditionalFormatting>
  <printOptions horizontalCentered="1"/>
  <pageMargins left="0.75" right="0.75" top="1" bottom="1" header="0" footer="0"/>
  <pageSetup scale="74" fitToHeight="0" orientation="portrait" r:id="rId1"/>
  <rowBreaks count="1" manualBreakCount="1">
    <brk id="32" max="16383" man="1"/>
  </rowBreaks>
  <drawing r:id="rId2"/>
  <legacyDrawing r:id="rId3"/>
  <controls>
    <mc:AlternateContent xmlns:mc="http://schemas.openxmlformats.org/markup-compatibility/2006">
      <mc:Choice Requires="x14">
        <control shapeId="22529" r:id="rId4" name="CommandButton1">
          <controlPr defaultSize="0" autoLine="0" altText="Add A Row Command Button" r:id="rId5">
            <anchor moveWithCells="1">
              <from>
                <xdr:col>9</xdr:col>
                <xdr:colOff>266700</xdr:colOff>
                <xdr:row>29</xdr:row>
                <xdr:rowOff>31750</xdr:rowOff>
              </from>
              <to>
                <xdr:col>11</xdr:col>
                <xdr:colOff>393700</xdr:colOff>
                <xdr:row>30</xdr:row>
                <xdr:rowOff>44450</xdr:rowOff>
              </to>
            </anchor>
          </controlPr>
        </control>
      </mc:Choice>
      <mc:Fallback>
        <control shapeId="22529" r:id="rId4" name="CommandButton1"/>
      </mc:Fallback>
    </mc:AlternateContent>
  </control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74D5E-BFA2-4990-9993-C666DB227D86}">
  <sheetPr codeName="Sheet22">
    <pageSetUpPr fitToPage="1"/>
  </sheetPr>
  <dimension ref="A1:Z1015"/>
  <sheetViews>
    <sheetView topLeftCell="C18" zoomScaleNormal="100" zoomScaleSheetLayoutView="90" workbookViewId="0">
      <selection activeCell="M16" sqref="M16"/>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196</v>
      </c>
      <c r="B1" s="387"/>
      <c r="C1" s="387"/>
      <c r="D1" s="387"/>
      <c r="E1" s="387"/>
      <c r="F1" s="387"/>
      <c r="G1" s="258" t="s">
        <v>165</v>
      </c>
      <c r="H1" s="259"/>
      <c r="I1" s="162" t="s">
        <v>166</v>
      </c>
      <c r="J1" s="252"/>
      <c r="K1" s="252"/>
      <c r="L1" s="252"/>
      <c r="M1" s="252"/>
      <c r="N1" s="252"/>
      <c r="O1" s="252"/>
    </row>
    <row r="2" spans="1:26" ht="15" customHeight="1" thickBot="1">
      <c r="A2" s="388"/>
      <c r="B2" s="389"/>
      <c r="C2" s="389"/>
      <c r="D2" s="389"/>
      <c r="E2" s="389"/>
      <c r="F2" s="389"/>
      <c r="G2" s="163" t="str">
        <f>IF(INPUT!C3=0,"",INPUT!C3)</f>
        <v>RLP # 36C248-25-R-0110 – EXHIBIT K</v>
      </c>
      <c r="H2" s="163"/>
      <c r="I2" s="164" t="str">
        <f>IF(INPUT!C10=0,"",INPUT!C10)</f>
        <v/>
      </c>
      <c r="J2" s="252"/>
      <c r="K2" s="252"/>
      <c r="L2" s="252"/>
      <c r="M2" s="252"/>
      <c r="N2" s="252"/>
      <c r="O2" s="252"/>
    </row>
    <row r="3" spans="1:26" s="10" customFormat="1" ht="36" customHeight="1" thickBot="1">
      <c r="A3" s="480" t="s">
        <v>198</v>
      </c>
      <c r="B3" s="402"/>
      <c r="C3" s="402"/>
      <c r="D3" s="402"/>
      <c r="E3" s="402"/>
      <c r="F3" s="402"/>
      <c r="G3" s="402"/>
      <c r="H3" s="402"/>
      <c r="I3" s="403"/>
      <c r="J3" s="253"/>
      <c r="K3" s="253"/>
      <c r="L3" s="253"/>
      <c r="M3" s="253"/>
      <c r="N3" s="253"/>
      <c r="O3" s="253"/>
    </row>
    <row r="4" spans="1:26" ht="15.5">
      <c r="A4" s="498" t="s">
        <v>93</v>
      </c>
      <c r="B4" s="499"/>
      <c r="C4" s="390" t="s">
        <v>91</v>
      </c>
      <c r="D4" s="382"/>
      <c r="E4" s="382"/>
      <c r="F4" s="383"/>
      <c r="G4" s="381" t="s">
        <v>92</v>
      </c>
      <c r="H4" s="382"/>
      <c r="I4" s="383"/>
      <c r="J4" s="252"/>
      <c r="K4" s="252"/>
      <c r="L4" s="252"/>
      <c r="M4" s="252"/>
      <c r="N4" s="252"/>
      <c r="O4" s="252"/>
    </row>
    <row r="5" spans="1:26" ht="15.75" customHeight="1" thickBot="1">
      <c r="A5" s="454"/>
      <c r="B5" s="500"/>
      <c r="C5" s="37" t="s">
        <v>129</v>
      </c>
      <c r="D5" s="27" t="s">
        <v>95</v>
      </c>
      <c r="E5" s="28" t="s">
        <v>61</v>
      </c>
      <c r="F5" s="38" t="s">
        <v>79</v>
      </c>
      <c r="G5" s="44" t="s">
        <v>96</v>
      </c>
      <c r="H5" s="30" t="s">
        <v>85</v>
      </c>
      <c r="I5" s="31" t="s">
        <v>79</v>
      </c>
      <c r="J5" s="252"/>
      <c r="K5" s="252"/>
      <c r="L5" s="252"/>
      <c r="M5" s="252"/>
      <c r="N5" s="252"/>
      <c r="O5" s="252"/>
    </row>
    <row r="6" spans="1:26" ht="21.75" customHeight="1">
      <c r="A6" s="476" t="s">
        <v>149</v>
      </c>
      <c r="B6" s="497"/>
      <c r="C6" s="34">
        <v>1</v>
      </c>
      <c r="D6" s="19" t="s">
        <v>148</v>
      </c>
      <c r="E6" s="11">
        <v>0</v>
      </c>
      <c r="F6" s="260">
        <f t="shared" ref="F6:F30" si="0">C6*E6</f>
        <v>0</v>
      </c>
      <c r="G6" s="34">
        <v>1</v>
      </c>
      <c r="H6" s="17">
        <v>0</v>
      </c>
      <c r="I6" s="261">
        <f t="shared" ref="I6:I30" si="1">G6*H6</f>
        <v>0</v>
      </c>
      <c r="J6" s="254"/>
      <c r="K6" s="254"/>
      <c r="L6" s="254"/>
      <c r="M6" s="254"/>
      <c r="N6" s="254"/>
      <c r="O6" s="254"/>
      <c r="P6" s="6"/>
      <c r="Q6" s="6"/>
      <c r="R6" s="6"/>
      <c r="S6" s="6"/>
      <c r="T6" s="6"/>
      <c r="U6" s="6"/>
      <c r="V6" s="6"/>
      <c r="W6" s="6"/>
      <c r="X6" s="6"/>
      <c r="Y6" s="6"/>
      <c r="Z6" s="6"/>
    </row>
    <row r="7" spans="1:26" ht="21.75" customHeight="1">
      <c r="A7" s="487"/>
      <c r="B7" s="495"/>
      <c r="C7" s="34"/>
      <c r="D7" s="19"/>
      <c r="E7" s="11"/>
      <c r="F7" s="260">
        <f>C7*E7</f>
        <v>0</v>
      </c>
      <c r="G7" s="43"/>
      <c r="H7" s="18"/>
      <c r="I7" s="179">
        <f t="shared" si="1"/>
        <v>0</v>
      </c>
      <c r="J7" s="254"/>
      <c r="K7" s="254"/>
      <c r="L7" s="254"/>
      <c r="M7" s="254"/>
      <c r="N7" s="254"/>
      <c r="O7" s="254"/>
      <c r="P7" s="6"/>
      <c r="Q7" s="6"/>
      <c r="R7" s="6"/>
      <c r="S7" s="6"/>
      <c r="T7" s="6"/>
      <c r="U7" s="6"/>
      <c r="V7" s="6"/>
      <c r="W7" s="6"/>
      <c r="X7" s="6"/>
      <c r="Y7" s="6"/>
      <c r="Z7" s="6"/>
    </row>
    <row r="8" spans="1:26" ht="21.75" customHeight="1">
      <c r="A8" s="487"/>
      <c r="B8" s="495"/>
      <c r="C8" s="34"/>
      <c r="D8" s="19"/>
      <c r="E8" s="11"/>
      <c r="F8" s="262">
        <f t="shared" si="0"/>
        <v>0</v>
      </c>
      <c r="G8" s="43"/>
      <c r="H8" s="18"/>
      <c r="I8" s="179">
        <f t="shared" si="1"/>
        <v>0</v>
      </c>
      <c r="J8" s="254"/>
      <c r="K8" s="254"/>
      <c r="L8" s="254"/>
      <c r="M8" s="254"/>
      <c r="N8" s="254"/>
      <c r="O8" s="254"/>
      <c r="P8" s="6"/>
      <c r="Q8" s="6"/>
      <c r="R8" s="6"/>
      <c r="S8" s="6"/>
      <c r="T8" s="6"/>
      <c r="U8" s="6"/>
      <c r="V8" s="6"/>
      <c r="W8" s="6"/>
      <c r="X8" s="6"/>
      <c r="Y8" s="6"/>
      <c r="Z8" s="6"/>
    </row>
    <row r="9" spans="1:26" ht="21.75" customHeight="1">
      <c r="A9" s="487"/>
      <c r="B9" s="495"/>
      <c r="C9" s="34"/>
      <c r="D9" s="19"/>
      <c r="E9" s="11"/>
      <c r="F9" s="262">
        <f t="shared" si="0"/>
        <v>0</v>
      </c>
      <c r="G9" s="43"/>
      <c r="H9" s="18"/>
      <c r="I9" s="179">
        <f t="shared" si="1"/>
        <v>0</v>
      </c>
      <c r="J9" s="254"/>
      <c r="K9" s="254"/>
      <c r="L9" s="254"/>
      <c r="M9" s="254"/>
      <c r="N9" s="254"/>
      <c r="O9" s="254"/>
      <c r="P9" s="6"/>
      <c r="Q9" s="6"/>
      <c r="R9" s="6"/>
      <c r="S9" s="6"/>
      <c r="T9" s="6"/>
      <c r="U9" s="6"/>
      <c r="V9" s="6"/>
      <c r="W9" s="6"/>
      <c r="X9" s="6"/>
      <c r="Y9" s="6"/>
      <c r="Z9" s="6"/>
    </row>
    <row r="10" spans="1:26" ht="21.75" customHeight="1">
      <c r="A10" s="487"/>
      <c r="B10" s="495"/>
      <c r="C10" s="34"/>
      <c r="D10" s="19"/>
      <c r="E10" s="11"/>
      <c r="F10" s="260">
        <f t="shared" si="0"/>
        <v>0</v>
      </c>
      <c r="G10" s="43"/>
      <c r="H10" s="18"/>
      <c r="I10" s="179">
        <f t="shared" si="1"/>
        <v>0</v>
      </c>
      <c r="J10" s="254"/>
      <c r="K10" s="254"/>
      <c r="L10" s="254"/>
      <c r="M10" s="254"/>
      <c r="N10" s="254"/>
      <c r="O10" s="254"/>
      <c r="P10" s="6"/>
      <c r="Q10" s="6"/>
      <c r="R10" s="6"/>
      <c r="S10" s="6"/>
      <c r="T10" s="6"/>
      <c r="U10" s="6"/>
      <c r="V10" s="6"/>
      <c r="W10" s="6"/>
      <c r="X10" s="6"/>
      <c r="Y10" s="6"/>
      <c r="Z10" s="6"/>
    </row>
    <row r="11" spans="1:26" ht="21.75" customHeight="1">
      <c r="A11" s="490"/>
      <c r="B11" s="496"/>
      <c r="C11" s="34"/>
      <c r="D11" s="19"/>
      <c r="E11" s="11"/>
      <c r="F11" s="260">
        <f t="shared" si="0"/>
        <v>0</v>
      </c>
      <c r="G11" s="43"/>
      <c r="H11" s="18"/>
      <c r="I11" s="179">
        <f t="shared" si="1"/>
        <v>0</v>
      </c>
      <c r="J11" s="254"/>
      <c r="K11" s="254"/>
      <c r="L11" s="254"/>
      <c r="M11" s="254"/>
      <c r="N11" s="254"/>
      <c r="O11" s="254"/>
      <c r="P11" s="6"/>
      <c r="Q11" s="6"/>
      <c r="R11" s="6"/>
      <c r="S11" s="6"/>
      <c r="T11" s="6"/>
      <c r="U11" s="6"/>
      <c r="V11" s="6"/>
      <c r="W11" s="6"/>
      <c r="X11" s="6"/>
      <c r="Y11" s="6"/>
      <c r="Z11" s="6"/>
    </row>
    <row r="12" spans="1:26" ht="21.75" customHeight="1">
      <c r="A12" s="487"/>
      <c r="B12" s="495"/>
      <c r="C12" s="34"/>
      <c r="D12" s="19"/>
      <c r="E12" s="11"/>
      <c r="F12" s="260">
        <f t="shared" si="0"/>
        <v>0</v>
      </c>
      <c r="G12" s="43"/>
      <c r="H12" s="18"/>
      <c r="I12" s="179">
        <f t="shared" si="1"/>
        <v>0</v>
      </c>
      <c r="J12" s="254"/>
      <c r="K12" s="254"/>
      <c r="L12" s="254"/>
      <c r="M12" s="254"/>
      <c r="N12" s="254"/>
      <c r="O12" s="254"/>
      <c r="P12" s="6"/>
      <c r="Q12" s="6"/>
      <c r="R12" s="6"/>
      <c r="S12" s="6"/>
      <c r="T12" s="6"/>
      <c r="U12" s="6"/>
      <c r="V12" s="6"/>
      <c r="W12" s="6"/>
      <c r="X12" s="6"/>
      <c r="Y12" s="6"/>
      <c r="Z12" s="6"/>
    </row>
    <row r="13" spans="1:26" ht="21.75" customHeight="1">
      <c r="A13" s="490"/>
      <c r="B13" s="496"/>
      <c r="C13" s="34"/>
      <c r="D13" s="19"/>
      <c r="E13" s="11"/>
      <c r="F13" s="260">
        <f t="shared" si="0"/>
        <v>0</v>
      </c>
      <c r="G13" s="43"/>
      <c r="H13" s="18"/>
      <c r="I13" s="179">
        <f t="shared" si="1"/>
        <v>0</v>
      </c>
      <c r="J13" s="254"/>
      <c r="K13" s="254"/>
      <c r="L13" s="254"/>
      <c r="M13" s="254"/>
      <c r="N13" s="254"/>
      <c r="O13" s="254"/>
      <c r="P13" s="6"/>
      <c r="Q13" s="6"/>
      <c r="R13" s="6"/>
      <c r="S13" s="6"/>
      <c r="T13" s="6"/>
      <c r="U13" s="6"/>
      <c r="V13" s="6"/>
      <c r="W13" s="6"/>
      <c r="X13" s="6"/>
      <c r="Y13" s="6"/>
      <c r="Z13" s="6"/>
    </row>
    <row r="14" spans="1:26" ht="21.75" customHeight="1">
      <c r="A14" s="490"/>
      <c r="B14" s="496"/>
      <c r="C14" s="34"/>
      <c r="D14" s="19"/>
      <c r="E14" s="11"/>
      <c r="F14" s="260">
        <f t="shared" si="0"/>
        <v>0</v>
      </c>
      <c r="G14" s="43"/>
      <c r="H14" s="18"/>
      <c r="I14" s="179">
        <f t="shared" si="1"/>
        <v>0</v>
      </c>
      <c r="J14" s="254"/>
      <c r="K14" s="254"/>
      <c r="L14" s="254"/>
      <c r="M14" s="254"/>
      <c r="N14" s="254"/>
      <c r="O14" s="254"/>
      <c r="P14" s="6"/>
      <c r="Q14" s="6"/>
      <c r="R14" s="6"/>
      <c r="S14" s="6"/>
      <c r="T14" s="6"/>
      <c r="U14" s="6"/>
      <c r="V14" s="6"/>
      <c r="W14" s="6"/>
      <c r="X14" s="6"/>
      <c r="Y14" s="6"/>
      <c r="Z14" s="6"/>
    </row>
    <row r="15" spans="1:26" ht="21.75" customHeight="1">
      <c r="A15" s="490"/>
      <c r="B15" s="496"/>
      <c r="C15" s="34"/>
      <c r="D15" s="19"/>
      <c r="E15" s="11"/>
      <c r="F15" s="260">
        <f t="shared" si="0"/>
        <v>0</v>
      </c>
      <c r="G15" s="43"/>
      <c r="H15" s="18"/>
      <c r="I15" s="179">
        <f t="shared" si="1"/>
        <v>0</v>
      </c>
      <c r="J15" s="254"/>
      <c r="K15" s="254"/>
      <c r="L15" s="254"/>
      <c r="M15" s="254"/>
      <c r="N15" s="254"/>
      <c r="O15" s="254"/>
      <c r="P15" s="6"/>
      <c r="Q15" s="6"/>
      <c r="R15" s="6"/>
      <c r="S15" s="6"/>
      <c r="T15" s="6"/>
      <c r="U15" s="6"/>
      <c r="V15" s="6"/>
      <c r="W15" s="6"/>
      <c r="X15" s="6"/>
      <c r="Y15" s="6"/>
      <c r="Z15" s="6"/>
    </row>
    <row r="16" spans="1:26" ht="21.75" customHeight="1">
      <c r="A16" s="490"/>
      <c r="B16" s="496"/>
      <c r="C16" s="34"/>
      <c r="D16" s="19"/>
      <c r="E16" s="11"/>
      <c r="F16" s="260">
        <f t="shared" si="0"/>
        <v>0</v>
      </c>
      <c r="G16" s="43"/>
      <c r="H16" s="18"/>
      <c r="I16" s="179">
        <f t="shared" si="1"/>
        <v>0</v>
      </c>
      <c r="J16" s="254"/>
      <c r="K16" s="254"/>
      <c r="L16" s="254"/>
      <c r="M16" s="254"/>
      <c r="N16" s="254"/>
      <c r="O16" s="254"/>
      <c r="P16" s="6"/>
      <c r="Q16" s="6"/>
      <c r="R16" s="6"/>
      <c r="S16" s="6"/>
      <c r="T16" s="6"/>
      <c r="U16" s="6"/>
      <c r="V16" s="6"/>
      <c r="W16" s="6"/>
      <c r="X16" s="6"/>
      <c r="Y16" s="6"/>
      <c r="Z16" s="6"/>
    </row>
    <row r="17" spans="1:26" ht="21.75" customHeight="1">
      <c r="A17" s="490"/>
      <c r="B17" s="496"/>
      <c r="C17" s="34"/>
      <c r="D17" s="19"/>
      <c r="E17" s="11"/>
      <c r="F17" s="260">
        <f t="shared" si="0"/>
        <v>0</v>
      </c>
      <c r="G17" s="43"/>
      <c r="H17" s="18"/>
      <c r="I17" s="179">
        <f t="shared" si="1"/>
        <v>0</v>
      </c>
      <c r="J17" s="254"/>
      <c r="K17" s="254"/>
      <c r="L17" s="254"/>
      <c r="M17" s="254"/>
      <c r="N17" s="254"/>
      <c r="O17" s="254"/>
      <c r="P17" s="6"/>
      <c r="Q17" s="6"/>
      <c r="R17" s="6"/>
      <c r="S17" s="6"/>
      <c r="T17" s="6"/>
      <c r="U17" s="6"/>
      <c r="V17" s="6"/>
      <c r="W17" s="6"/>
      <c r="X17" s="6"/>
      <c r="Y17" s="6"/>
      <c r="Z17" s="6"/>
    </row>
    <row r="18" spans="1:26" ht="21.75" customHeight="1">
      <c r="A18" s="490"/>
      <c r="B18" s="496"/>
      <c r="C18" s="34"/>
      <c r="D18" s="19"/>
      <c r="E18" s="11"/>
      <c r="F18" s="260">
        <f t="shared" si="0"/>
        <v>0</v>
      </c>
      <c r="G18" s="43"/>
      <c r="H18" s="18"/>
      <c r="I18" s="179">
        <f t="shared" si="1"/>
        <v>0</v>
      </c>
      <c r="J18" s="254"/>
      <c r="K18" s="254"/>
      <c r="L18" s="254"/>
      <c r="M18" s="254"/>
      <c r="N18" s="254"/>
      <c r="O18" s="254"/>
      <c r="P18" s="6"/>
      <c r="Q18" s="6"/>
      <c r="R18" s="6"/>
      <c r="S18" s="6"/>
      <c r="T18" s="6"/>
      <c r="U18" s="6"/>
      <c r="V18" s="6"/>
      <c r="W18" s="6"/>
      <c r="X18" s="6"/>
      <c r="Y18" s="6"/>
      <c r="Z18" s="6"/>
    </row>
    <row r="19" spans="1:26" ht="21.75" customHeight="1">
      <c r="A19" s="490"/>
      <c r="B19" s="496"/>
      <c r="C19" s="34"/>
      <c r="D19" s="19"/>
      <c r="E19" s="11"/>
      <c r="F19" s="260">
        <f t="shared" si="0"/>
        <v>0</v>
      </c>
      <c r="G19" s="43"/>
      <c r="H19" s="18"/>
      <c r="I19" s="179">
        <f t="shared" si="1"/>
        <v>0</v>
      </c>
      <c r="J19" s="254"/>
      <c r="K19" s="254"/>
      <c r="L19" s="254"/>
      <c r="M19" s="254"/>
      <c r="N19" s="254"/>
      <c r="O19" s="254"/>
      <c r="P19" s="6"/>
      <c r="Q19" s="6"/>
      <c r="R19" s="6"/>
      <c r="S19" s="6"/>
      <c r="T19" s="6"/>
      <c r="U19" s="6"/>
      <c r="V19" s="6"/>
      <c r="W19" s="6"/>
      <c r="X19" s="6"/>
      <c r="Y19" s="6"/>
      <c r="Z19" s="6"/>
    </row>
    <row r="20" spans="1:26" ht="21.75" customHeight="1">
      <c r="A20" s="490"/>
      <c r="B20" s="496"/>
      <c r="C20" s="34"/>
      <c r="D20" s="19"/>
      <c r="E20" s="11"/>
      <c r="F20" s="260">
        <f t="shared" si="0"/>
        <v>0</v>
      </c>
      <c r="G20" s="43"/>
      <c r="H20" s="18"/>
      <c r="I20" s="179">
        <f t="shared" si="1"/>
        <v>0</v>
      </c>
      <c r="J20" s="254"/>
      <c r="K20" s="254"/>
      <c r="L20" s="254"/>
      <c r="M20" s="254"/>
      <c r="N20" s="254"/>
      <c r="O20" s="254"/>
      <c r="P20" s="6"/>
      <c r="Q20" s="6"/>
      <c r="R20" s="6"/>
      <c r="S20" s="6"/>
      <c r="T20" s="6"/>
      <c r="U20" s="6"/>
      <c r="V20" s="6"/>
      <c r="W20" s="6"/>
      <c r="X20" s="6"/>
      <c r="Y20" s="6"/>
      <c r="Z20" s="6"/>
    </row>
    <row r="21" spans="1:26" ht="21.75" customHeight="1">
      <c r="A21" s="490"/>
      <c r="B21" s="496"/>
      <c r="C21" s="34"/>
      <c r="D21" s="19"/>
      <c r="E21" s="11"/>
      <c r="F21" s="260">
        <f t="shared" si="0"/>
        <v>0</v>
      </c>
      <c r="G21" s="43"/>
      <c r="H21" s="18"/>
      <c r="I21" s="179">
        <f t="shared" si="1"/>
        <v>0</v>
      </c>
      <c r="J21" s="254"/>
      <c r="K21" s="254"/>
      <c r="L21" s="254"/>
      <c r="M21" s="254"/>
      <c r="N21" s="254"/>
      <c r="O21" s="254"/>
      <c r="P21" s="6"/>
      <c r="Q21" s="6"/>
      <c r="R21" s="6"/>
      <c r="S21" s="6"/>
      <c r="T21" s="6"/>
      <c r="U21" s="6"/>
      <c r="V21" s="6"/>
      <c r="W21" s="6"/>
      <c r="X21" s="6"/>
      <c r="Y21" s="6"/>
      <c r="Z21" s="6"/>
    </row>
    <row r="22" spans="1:26" ht="21.75" customHeight="1">
      <c r="A22" s="490"/>
      <c r="B22" s="496"/>
      <c r="C22" s="34"/>
      <c r="D22" s="19"/>
      <c r="E22" s="11"/>
      <c r="F22" s="260">
        <f t="shared" si="0"/>
        <v>0</v>
      </c>
      <c r="G22" s="43"/>
      <c r="H22" s="18"/>
      <c r="I22" s="179">
        <f t="shared" si="1"/>
        <v>0</v>
      </c>
      <c r="J22" s="254"/>
      <c r="K22" s="254"/>
      <c r="L22" s="254"/>
      <c r="M22" s="254"/>
      <c r="N22" s="254"/>
      <c r="O22" s="254"/>
      <c r="P22" s="6"/>
      <c r="Q22" s="6"/>
      <c r="R22" s="6"/>
      <c r="S22" s="6"/>
      <c r="T22" s="6"/>
      <c r="U22" s="6"/>
      <c r="V22" s="6"/>
      <c r="W22" s="6"/>
      <c r="X22" s="6"/>
      <c r="Y22" s="6"/>
      <c r="Z22" s="6"/>
    </row>
    <row r="23" spans="1:26" ht="21.75" customHeight="1">
      <c r="A23" s="490"/>
      <c r="B23" s="496"/>
      <c r="C23" s="34"/>
      <c r="D23" s="19"/>
      <c r="E23" s="11"/>
      <c r="F23" s="260">
        <f t="shared" si="0"/>
        <v>0</v>
      </c>
      <c r="G23" s="43"/>
      <c r="H23" s="18"/>
      <c r="I23" s="179">
        <f t="shared" si="1"/>
        <v>0</v>
      </c>
      <c r="J23" s="254"/>
      <c r="K23" s="254"/>
      <c r="L23" s="254"/>
      <c r="M23" s="254"/>
      <c r="N23" s="254"/>
      <c r="O23" s="254"/>
      <c r="P23" s="6"/>
      <c r="Q23" s="6"/>
      <c r="R23" s="6"/>
      <c r="S23" s="6"/>
      <c r="T23" s="6"/>
      <c r="U23" s="6"/>
      <c r="V23" s="6"/>
      <c r="W23" s="6"/>
      <c r="X23" s="6"/>
      <c r="Y23" s="6"/>
      <c r="Z23" s="6"/>
    </row>
    <row r="24" spans="1:26" ht="21.75" customHeight="1">
      <c r="A24" s="487"/>
      <c r="B24" s="495"/>
      <c r="C24" s="34"/>
      <c r="D24" s="19"/>
      <c r="E24" s="11"/>
      <c r="F24" s="260">
        <f t="shared" si="0"/>
        <v>0</v>
      </c>
      <c r="G24" s="43"/>
      <c r="H24" s="18"/>
      <c r="I24" s="179">
        <f t="shared" si="1"/>
        <v>0</v>
      </c>
      <c r="J24" s="254"/>
      <c r="K24" s="254"/>
      <c r="L24" s="254"/>
      <c r="M24" s="254"/>
      <c r="N24" s="254"/>
      <c r="O24" s="254"/>
      <c r="P24" s="6"/>
      <c r="Q24" s="6"/>
      <c r="R24" s="6"/>
      <c r="S24" s="6"/>
      <c r="T24" s="6"/>
      <c r="U24" s="6"/>
      <c r="V24" s="6"/>
      <c r="W24" s="6"/>
      <c r="X24" s="6"/>
      <c r="Y24" s="6"/>
      <c r="Z24" s="6"/>
    </row>
    <row r="25" spans="1:26" ht="21.75" customHeight="1">
      <c r="A25" s="487"/>
      <c r="B25" s="495"/>
      <c r="C25" s="34"/>
      <c r="D25" s="19"/>
      <c r="E25" s="11"/>
      <c r="F25" s="260">
        <f t="shared" si="0"/>
        <v>0</v>
      </c>
      <c r="G25" s="43"/>
      <c r="H25" s="18"/>
      <c r="I25" s="179">
        <f t="shared" si="1"/>
        <v>0</v>
      </c>
      <c r="J25" s="254"/>
      <c r="K25" s="254"/>
      <c r="L25" s="254"/>
      <c r="M25" s="254"/>
      <c r="N25" s="254"/>
      <c r="O25" s="254"/>
      <c r="P25" s="6"/>
      <c r="Q25" s="6"/>
      <c r="R25" s="6"/>
      <c r="S25" s="6"/>
      <c r="T25" s="6"/>
      <c r="U25" s="6"/>
      <c r="V25" s="6"/>
      <c r="W25" s="6"/>
      <c r="X25" s="6"/>
      <c r="Y25" s="6"/>
      <c r="Z25" s="6"/>
    </row>
    <row r="26" spans="1:26" ht="21.75" customHeight="1">
      <c r="A26" s="487"/>
      <c r="B26" s="495"/>
      <c r="C26" s="34"/>
      <c r="D26" s="19"/>
      <c r="E26" s="11"/>
      <c r="F26" s="260">
        <f t="shared" si="0"/>
        <v>0</v>
      </c>
      <c r="G26" s="43"/>
      <c r="H26" s="18"/>
      <c r="I26" s="179">
        <f t="shared" si="1"/>
        <v>0</v>
      </c>
      <c r="J26" s="254"/>
      <c r="K26" s="254"/>
      <c r="L26" s="254"/>
      <c r="M26" s="254"/>
      <c r="N26" s="254"/>
      <c r="O26" s="254"/>
      <c r="P26" s="6"/>
      <c r="Q26" s="6"/>
      <c r="R26" s="6"/>
      <c r="S26" s="6"/>
      <c r="T26" s="6"/>
      <c r="U26" s="6"/>
      <c r="V26" s="6"/>
      <c r="W26" s="6"/>
      <c r="X26" s="6"/>
      <c r="Y26" s="6"/>
      <c r="Z26" s="6"/>
    </row>
    <row r="27" spans="1:26" ht="21.75" customHeight="1">
      <c r="A27" s="487"/>
      <c r="B27" s="495"/>
      <c r="C27" s="34"/>
      <c r="D27" s="19"/>
      <c r="E27" s="11"/>
      <c r="F27" s="260">
        <f t="shared" si="0"/>
        <v>0</v>
      </c>
      <c r="G27" s="43"/>
      <c r="H27" s="18"/>
      <c r="I27" s="179">
        <f t="shared" si="1"/>
        <v>0</v>
      </c>
      <c r="J27" s="254"/>
      <c r="K27" s="254"/>
      <c r="L27" s="254"/>
      <c r="M27" s="254"/>
      <c r="N27" s="254"/>
      <c r="O27" s="254"/>
      <c r="P27" s="6"/>
      <c r="Q27" s="6"/>
      <c r="R27" s="6"/>
      <c r="S27" s="6"/>
      <c r="T27" s="6"/>
      <c r="U27" s="6"/>
      <c r="V27" s="6"/>
      <c r="W27" s="6"/>
      <c r="X27" s="6"/>
      <c r="Y27" s="6"/>
      <c r="Z27" s="6"/>
    </row>
    <row r="28" spans="1:26" ht="21.75" customHeight="1">
      <c r="A28" s="487"/>
      <c r="B28" s="495"/>
      <c r="C28" s="34"/>
      <c r="D28" s="19"/>
      <c r="E28" s="11"/>
      <c r="F28" s="260">
        <f t="shared" si="0"/>
        <v>0</v>
      </c>
      <c r="G28" s="43"/>
      <c r="H28" s="18"/>
      <c r="I28" s="179">
        <f t="shared" si="1"/>
        <v>0</v>
      </c>
      <c r="J28" s="254"/>
      <c r="K28" s="254"/>
      <c r="L28" s="254"/>
      <c r="M28" s="254"/>
      <c r="N28" s="254"/>
      <c r="O28" s="254"/>
      <c r="P28" s="6"/>
      <c r="Q28" s="6"/>
      <c r="R28" s="6"/>
      <c r="S28" s="6"/>
      <c r="T28" s="6"/>
      <c r="U28" s="6"/>
      <c r="V28" s="6"/>
      <c r="W28" s="6"/>
      <c r="X28" s="6"/>
      <c r="Y28" s="6"/>
      <c r="Z28" s="6"/>
    </row>
    <row r="29" spans="1:26" ht="21.75" customHeight="1">
      <c r="A29" s="487"/>
      <c r="B29" s="495"/>
      <c r="C29" s="34"/>
      <c r="D29" s="19"/>
      <c r="E29" s="11"/>
      <c r="F29" s="260">
        <f t="shared" si="0"/>
        <v>0</v>
      </c>
      <c r="G29" s="43"/>
      <c r="H29" s="18"/>
      <c r="I29" s="179">
        <f t="shared" si="1"/>
        <v>0</v>
      </c>
      <c r="J29" s="254"/>
      <c r="K29" s="254"/>
      <c r="L29" s="254"/>
      <c r="M29" s="254"/>
      <c r="N29" s="254"/>
      <c r="O29" s="254"/>
      <c r="P29" s="6"/>
      <c r="Q29" s="6"/>
      <c r="R29" s="6"/>
      <c r="S29" s="6"/>
      <c r="T29" s="6"/>
      <c r="U29" s="6"/>
      <c r="V29" s="6"/>
      <c r="W29" s="6"/>
      <c r="X29" s="6"/>
      <c r="Y29" s="6"/>
      <c r="Z29" s="6"/>
    </row>
    <row r="30" spans="1:26" ht="21.75" customHeight="1">
      <c r="A30" s="487"/>
      <c r="B30" s="495"/>
      <c r="C30" s="34"/>
      <c r="D30" s="19"/>
      <c r="E30" s="11"/>
      <c r="F30" s="263">
        <f t="shared" si="0"/>
        <v>0</v>
      </c>
      <c r="G30" s="34"/>
      <c r="H30" s="22"/>
      <c r="I30" s="182">
        <f t="shared" si="1"/>
        <v>0</v>
      </c>
      <c r="J30" s="254"/>
      <c r="K30" s="254"/>
      <c r="L30" s="254"/>
      <c r="M30" s="254"/>
      <c r="N30" s="254"/>
      <c r="O30" s="254"/>
      <c r="P30" s="6"/>
      <c r="Q30" s="6"/>
      <c r="R30" s="6"/>
      <c r="S30" s="6"/>
      <c r="T30" s="6"/>
      <c r="U30" s="6"/>
      <c r="V30" s="6"/>
      <c r="W30" s="6"/>
      <c r="X30" s="6"/>
      <c r="Y30" s="6"/>
      <c r="Z30" s="6"/>
    </row>
    <row r="31" spans="1:26" ht="15.75" customHeight="1" thickBot="1">
      <c r="A31" s="23"/>
      <c r="B31" s="24"/>
      <c r="C31" s="467" t="s">
        <v>122</v>
      </c>
      <c r="D31" s="468"/>
      <c r="E31" s="468"/>
      <c r="F31" s="25">
        <f>SUM(F6:F30)</f>
        <v>0</v>
      </c>
      <c r="G31" s="467" t="s">
        <v>123</v>
      </c>
      <c r="H31" s="468"/>
      <c r="I31" s="25">
        <f>SUM(I6:I30)</f>
        <v>0</v>
      </c>
      <c r="J31" s="255"/>
      <c r="K31" s="255"/>
      <c r="L31" s="255"/>
      <c r="M31" s="255"/>
      <c r="N31" s="255"/>
      <c r="O31" s="255"/>
      <c r="P31" s="7"/>
      <c r="Q31" s="7"/>
      <c r="R31" s="7"/>
      <c r="S31" s="7"/>
      <c r="T31" s="7"/>
      <c r="U31" s="7"/>
      <c r="V31" s="7"/>
      <c r="W31" s="7"/>
      <c r="X31" s="7"/>
      <c r="Y31" s="7"/>
      <c r="Z31" s="7"/>
    </row>
    <row r="32" spans="1:26" ht="19.5" customHeight="1" thickBot="1">
      <c r="A32" s="469" t="s">
        <v>125</v>
      </c>
      <c r="B32" s="470"/>
      <c r="C32" s="470"/>
      <c r="D32" s="470"/>
      <c r="E32" s="470"/>
      <c r="F32" s="470"/>
      <c r="G32" s="470"/>
      <c r="H32" s="470"/>
      <c r="I32" s="26">
        <f>SUM(I31,F31)</f>
        <v>0</v>
      </c>
      <c r="J32" s="255"/>
      <c r="K32" s="255"/>
      <c r="L32" s="255"/>
      <c r="M32" s="255"/>
      <c r="N32" s="255"/>
      <c r="O32" s="255"/>
      <c r="P32" s="7"/>
      <c r="Q32" s="7"/>
      <c r="R32" s="7"/>
      <c r="S32" s="7"/>
      <c r="T32" s="7"/>
      <c r="U32" s="7"/>
      <c r="V32" s="7"/>
      <c r="W32" s="7"/>
      <c r="X32" s="7"/>
      <c r="Y32" s="7"/>
      <c r="Z32" s="7"/>
    </row>
    <row r="33" spans="1:26" ht="36" customHeight="1" thickBot="1">
      <c r="A33" s="477" t="s">
        <v>197</v>
      </c>
      <c r="B33" s="478"/>
      <c r="C33" s="478"/>
      <c r="D33" s="478"/>
      <c r="E33" s="478"/>
      <c r="F33" s="478"/>
      <c r="G33" s="478"/>
      <c r="H33" s="478"/>
      <c r="I33" s="479"/>
      <c r="J33" s="255"/>
      <c r="K33" s="255"/>
      <c r="L33" s="255"/>
      <c r="M33" s="255"/>
      <c r="N33" s="255"/>
      <c r="O33" s="255"/>
      <c r="P33" s="7"/>
      <c r="Q33" s="7"/>
      <c r="R33" s="7"/>
      <c r="S33" s="7"/>
      <c r="T33" s="7"/>
      <c r="U33" s="7"/>
      <c r="V33" s="7"/>
      <c r="W33" s="7"/>
      <c r="X33" s="7"/>
      <c r="Y33" s="7"/>
      <c r="Z33" s="7"/>
    </row>
    <row r="34" spans="1:26" ht="15.5">
      <c r="A34" s="452" t="s">
        <v>93</v>
      </c>
      <c r="B34" s="453"/>
      <c r="C34" s="390" t="s">
        <v>91</v>
      </c>
      <c r="D34" s="382"/>
      <c r="E34" s="382"/>
      <c r="F34" s="383"/>
      <c r="G34" s="381" t="s">
        <v>92</v>
      </c>
      <c r="H34" s="382"/>
      <c r="I34" s="383"/>
      <c r="J34" s="256"/>
      <c r="K34" s="256"/>
      <c r="L34" s="256"/>
      <c r="M34" s="256"/>
      <c r="N34" s="256"/>
      <c r="O34" s="256"/>
      <c r="P34" s="8"/>
      <c r="Q34" s="8"/>
      <c r="R34" s="8"/>
      <c r="S34" s="8"/>
      <c r="T34" s="8"/>
      <c r="U34" s="8"/>
      <c r="V34" s="8"/>
      <c r="W34" s="8"/>
      <c r="X34" s="8"/>
      <c r="Y34" s="8"/>
      <c r="Z34" s="8"/>
    </row>
    <row r="35" spans="1:26" ht="15.75" customHeight="1" thickBot="1">
      <c r="A35" s="454"/>
      <c r="B35" s="455"/>
      <c r="C35" s="37" t="s">
        <v>129</v>
      </c>
      <c r="D35" s="27" t="s">
        <v>95</v>
      </c>
      <c r="E35" s="28" t="s">
        <v>61</v>
      </c>
      <c r="F35" s="38" t="s">
        <v>79</v>
      </c>
      <c r="G35" s="44" t="s">
        <v>96</v>
      </c>
      <c r="H35" s="30" t="s">
        <v>85</v>
      </c>
      <c r="I35" s="31" t="s">
        <v>79</v>
      </c>
      <c r="J35" s="256"/>
      <c r="K35" s="256"/>
      <c r="L35" s="256"/>
      <c r="M35" s="256"/>
      <c r="N35" s="256"/>
      <c r="O35" s="256"/>
      <c r="P35" s="8"/>
      <c r="Q35" s="8"/>
      <c r="R35" s="8"/>
      <c r="S35" s="8"/>
      <c r="T35" s="8"/>
      <c r="U35" s="8"/>
      <c r="V35" s="8"/>
      <c r="W35" s="8"/>
      <c r="X35" s="8"/>
      <c r="Y35" s="8"/>
      <c r="Z35" s="8"/>
    </row>
    <row r="36" spans="1:26" ht="21.75" customHeight="1">
      <c r="A36" s="489"/>
      <c r="B36" s="488"/>
      <c r="C36" s="39">
        <v>1</v>
      </c>
      <c r="D36" s="20"/>
      <c r="E36" s="12">
        <v>0</v>
      </c>
      <c r="F36" s="40">
        <f t="shared" ref="F36:F48" si="2">C36*E36</f>
        <v>0</v>
      </c>
      <c r="G36" s="45">
        <v>1</v>
      </c>
      <c r="H36" s="12">
        <v>0</v>
      </c>
      <c r="I36" s="264">
        <f>G36*H36</f>
        <v>0</v>
      </c>
      <c r="J36" s="252"/>
      <c r="K36" s="252"/>
      <c r="L36" s="252"/>
      <c r="M36" s="252"/>
      <c r="N36" s="252"/>
      <c r="O36" s="252"/>
    </row>
    <row r="37" spans="1:26" ht="21.75" customHeight="1">
      <c r="A37" s="489"/>
      <c r="B37" s="488"/>
      <c r="C37" s="39"/>
      <c r="D37" s="20"/>
      <c r="E37" s="12"/>
      <c r="F37" s="40">
        <f t="shared" si="2"/>
        <v>0</v>
      </c>
      <c r="G37" s="45"/>
      <c r="H37" s="12"/>
      <c r="I37" s="206">
        <f t="shared" ref="I37:I48" si="3">G37*H37</f>
        <v>0</v>
      </c>
      <c r="J37" s="252"/>
      <c r="K37" s="252"/>
      <c r="L37" s="252"/>
      <c r="M37" s="252"/>
      <c r="N37" s="252"/>
      <c r="O37" s="252"/>
    </row>
    <row r="38" spans="1:26" ht="21.75" customHeight="1">
      <c r="A38" s="489"/>
      <c r="B38" s="488"/>
      <c r="C38" s="39"/>
      <c r="D38" s="20"/>
      <c r="E38" s="12"/>
      <c r="F38" s="40">
        <f t="shared" si="2"/>
        <v>0</v>
      </c>
      <c r="G38" s="45"/>
      <c r="H38" s="12"/>
      <c r="I38" s="206">
        <f t="shared" si="3"/>
        <v>0</v>
      </c>
      <c r="J38" s="252"/>
      <c r="K38" s="252"/>
      <c r="L38" s="252"/>
      <c r="M38" s="252"/>
      <c r="N38" s="252"/>
      <c r="O38" s="252"/>
    </row>
    <row r="39" spans="1:26" ht="21.75" customHeight="1">
      <c r="A39" s="489"/>
      <c r="B39" s="488"/>
      <c r="C39" s="39"/>
      <c r="D39" s="20"/>
      <c r="E39" s="12"/>
      <c r="F39" s="40">
        <f t="shared" si="2"/>
        <v>0</v>
      </c>
      <c r="G39" s="45"/>
      <c r="H39" s="12"/>
      <c r="I39" s="206">
        <f t="shared" si="3"/>
        <v>0</v>
      </c>
      <c r="J39" s="252"/>
      <c r="K39" s="252"/>
      <c r="L39" s="252"/>
      <c r="M39" s="252"/>
      <c r="N39" s="252"/>
      <c r="O39" s="252"/>
    </row>
    <row r="40" spans="1:26" ht="21.75" customHeight="1">
      <c r="A40" s="489"/>
      <c r="B40" s="488"/>
      <c r="C40" s="39"/>
      <c r="D40" s="20"/>
      <c r="E40" s="12"/>
      <c r="F40" s="40">
        <f t="shared" si="2"/>
        <v>0</v>
      </c>
      <c r="G40" s="45"/>
      <c r="H40" s="12"/>
      <c r="I40" s="206">
        <f t="shared" si="3"/>
        <v>0</v>
      </c>
      <c r="J40" s="252"/>
      <c r="K40" s="252"/>
      <c r="L40" s="252"/>
      <c r="M40" s="252"/>
      <c r="N40" s="252"/>
      <c r="O40" s="252"/>
    </row>
    <row r="41" spans="1:26" ht="21.75" customHeight="1">
      <c r="A41" s="489"/>
      <c r="B41" s="488"/>
      <c r="C41" s="39"/>
      <c r="D41" s="20"/>
      <c r="E41" s="12"/>
      <c r="F41" s="40">
        <f t="shared" si="2"/>
        <v>0</v>
      </c>
      <c r="G41" s="45"/>
      <c r="H41" s="12"/>
      <c r="I41" s="206">
        <f t="shared" si="3"/>
        <v>0</v>
      </c>
      <c r="J41" s="252"/>
      <c r="K41" s="252"/>
      <c r="L41" s="252"/>
      <c r="M41" s="252"/>
      <c r="N41" s="252"/>
      <c r="O41" s="252"/>
    </row>
    <row r="42" spans="1:26" ht="21.75" customHeight="1">
      <c r="A42" s="489"/>
      <c r="B42" s="488"/>
      <c r="C42" s="39"/>
      <c r="D42" s="20"/>
      <c r="E42" s="12"/>
      <c r="F42" s="40">
        <f t="shared" si="2"/>
        <v>0</v>
      </c>
      <c r="G42" s="45"/>
      <c r="H42" s="12"/>
      <c r="I42" s="206">
        <f t="shared" si="3"/>
        <v>0</v>
      </c>
      <c r="J42" s="252"/>
      <c r="K42" s="252"/>
      <c r="L42" s="252"/>
      <c r="M42" s="252"/>
      <c r="N42" s="252"/>
      <c r="O42" s="252"/>
    </row>
    <row r="43" spans="1:26" ht="21.75" customHeight="1">
      <c r="A43" s="489"/>
      <c r="B43" s="488"/>
      <c r="C43" s="39"/>
      <c r="D43" s="20"/>
      <c r="E43" s="12"/>
      <c r="F43" s="40">
        <f t="shared" si="2"/>
        <v>0</v>
      </c>
      <c r="G43" s="45"/>
      <c r="H43" s="12"/>
      <c r="I43" s="206">
        <f t="shared" si="3"/>
        <v>0</v>
      </c>
      <c r="J43" s="252"/>
      <c r="K43" s="252"/>
      <c r="L43" s="252"/>
      <c r="M43" s="252"/>
      <c r="N43" s="252"/>
      <c r="O43" s="252"/>
    </row>
    <row r="44" spans="1:26" ht="21.75" customHeight="1">
      <c r="A44" s="489"/>
      <c r="B44" s="488"/>
      <c r="C44" s="39"/>
      <c r="D44" s="20"/>
      <c r="E44" s="12"/>
      <c r="F44" s="40">
        <f t="shared" si="2"/>
        <v>0</v>
      </c>
      <c r="G44" s="45"/>
      <c r="H44" s="12"/>
      <c r="I44" s="206">
        <f t="shared" si="3"/>
        <v>0</v>
      </c>
      <c r="J44" s="252"/>
      <c r="K44" s="252"/>
      <c r="L44" s="252"/>
      <c r="M44" s="252"/>
      <c r="N44" s="252"/>
      <c r="O44" s="252"/>
    </row>
    <row r="45" spans="1:26" ht="21.75" customHeight="1">
      <c r="A45" s="489"/>
      <c r="B45" s="488"/>
      <c r="C45" s="39"/>
      <c r="D45" s="20"/>
      <c r="E45" s="12"/>
      <c r="F45" s="40">
        <f t="shared" si="2"/>
        <v>0</v>
      </c>
      <c r="G45" s="45"/>
      <c r="H45" s="12"/>
      <c r="I45" s="206">
        <f t="shared" si="3"/>
        <v>0</v>
      </c>
      <c r="J45" s="252"/>
      <c r="K45" s="252"/>
      <c r="L45" s="252"/>
      <c r="M45" s="252"/>
      <c r="N45" s="252"/>
      <c r="O45" s="252"/>
    </row>
    <row r="46" spans="1:26" ht="21.75" customHeight="1">
      <c r="A46" s="489"/>
      <c r="B46" s="488"/>
      <c r="C46" s="39"/>
      <c r="D46" s="20"/>
      <c r="E46" s="12"/>
      <c r="F46" s="40">
        <f t="shared" si="2"/>
        <v>0</v>
      </c>
      <c r="G46" s="45"/>
      <c r="H46" s="12"/>
      <c r="I46" s="206">
        <f t="shared" si="3"/>
        <v>0</v>
      </c>
      <c r="J46" s="252"/>
      <c r="K46" s="252"/>
      <c r="L46" s="252"/>
      <c r="M46" s="252"/>
      <c r="N46" s="252"/>
      <c r="O46" s="252"/>
    </row>
    <row r="47" spans="1:26" ht="21.75" customHeight="1">
      <c r="A47" s="489"/>
      <c r="B47" s="488"/>
      <c r="C47" s="39"/>
      <c r="D47" s="20"/>
      <c r="E47" s="12"/>
      <c r="F47" s="40">
        <f t="shared" si="2"/>
        <v>0</v>
      </c>
      <c r="G47" s="45"/>
      <c r="H47" s="12"/>
      <c r="I47" s="206">
        <f t="shared" si="3"/>
        <v>0</v>
      </c>
      <c r="J47" s="252"/>
      <c r="K47" s="252"/>
      <c r="L47" s="252"/>
      <c r="M47" s="252"/>
      <c r="N47" s="252"/>
      <c r="O47" s="252"/>
    </row>
    <row r="48" spans="1:26" ht="21.75" customHeight="1">
      <c r="A48" s="489"/>
      <c r="B48" s="488"/>
      <c r="C48" s="39"/>
      <c r="D48" s="20"/>
      <c r="E48" s="12"/>
      <c r="F48" s="40">
        <f t="shared" si="2"/>
        <v>0</v>
      </c>
      <c r="G48" s="45"/>
      <c r="H48" s="12"/>
      <c r="I48" s="206">
        <f t="shared" si="3"/>
        <v>0</v>
      </c>
      <c r="J48" s="252"/>
      <c r="K48" s="252"/>
      <c r="L48" s="252"/>
      <c r="M48" s="252"/>
      <c r="N48" s="252"/>
      <c r="O48" s="252"/>
    </row>
    <row r="49" spans="1:15" ht="15.75" customHeight="1" thickBot="1">
      <c r="A49" s="46"/>
      <c r="B49" s="47"/>
      <c r="C49" s="473" t="s">
        <v>122</v>
      </c>
      <c r="D49" s="474"/>
      <c r="E49" s="475"/>
      <c r="F49" s="266">
        <f>SUM(F36:F48)</f>
        <v>0</v>
      </c>
      <c r="G49" s="473" t="s">
        <v>123</v>
      </c>
      <c r="H49" s="475"/>
      <c r="I49" s="266">
        <f>SUM(I36:I48)</f>
        <v>0</v>
      </c>
      <c r="J49" s="252"/>
      <c r="K49" s="252"/>
      <c r="L49" s="252"/>
      <c r="M49" s="252"/>
      <c r="N49" s="252"/>
      <c r="O49" s="252"/>
    </row>
    <row r="50" spans="1:15" ht="20.149999999999999" customHeight="1" thickBot="1">
      <c r="A50" s="469" t="s">
        <v>124</v>
      </c>
      <c r="B50" s="470"/>
      <c r="C50" s="470"/>
      <c r="D50" s="470"/>
      <c r="E50" s="470"/>
      <c r="F50" s="470"/>
      <c r="G50" s="470"/>
      <c r="H50" s="470"/>
      <c r="I50" s="267">
        <f>SUM(I49,F49)</f>
        <v>0</v>
      </c>
      <c r="J50" s="252"/>
      <c r="K50" s="252"/>
      <c r="L50" s="252"/>
      <c r="M50" s="252"/>
      <c r="N50" s="252"/>
      <c r="O50" s="252"/>
    </row>
    <row r="51" spans="1:15" ht="15.75" customHeight="1">
      <c r="A51" s="252"/>
      <c r="B51" s="252"/>
      <c r="C51" s="252"/>
      <c r="D51" s="252"/>
      <c r="E51" s="257"/>
      <c r="F51" s="252"/>
      <c r="G51" s="252"/>
      <c r="H51" s="252"/>
      <c r="I51" s="252"/>
      <c r="J51" s="252"/>
      <c r="K51" s="252"/>
      <c r="L51" s="252"/>
      <c r="M51" s="252"/>
      <c r="N51" s="252"/>
      <c r="O51" s="252"/>
    </row>
    <row r="52" spans="1:15" ht="15.75" customHeight="1">
      <c r="A52" s="252"/>
      <c r="B52" s="252"/>
      <c r="C52" s="252"/>
      <c r="D52" s="252"/>
      <c r="E52" s="257"/>
      <c r="F52" s="252"/>
      <c r="G52" s="252"/>
      <c r="H52" s="252"/>
      <c r="I52" s="252"/>
      <c r="J52" s="252"/>
      <c r="K52" s="252"/>
      <c r="L52" s="252"/>
      <c r="M52" s="252"/>
      <c r="N52" s="252"/>
      <c r="O52" s="252"/>
    </row>
    <row r="53" spans="1:15" ht="15.75" customHeight="1">
      <c r="A53" s="252"/>
      <c r="B53" s="252"/>
      <c r="C53" s="252"/>
      <c r="D53" s="252"/>
      <c r="E53" s="257"/>
      <c r="F53" s="252"/>
      <c r="G53" s="252"/>
      <c r="H53" s="252"/>
      <c r="I53" s="252"/>
      <c r="J53" s="252"/>
      <c r="K53" s="252"/>
      <c r="L53" s="252"/>
      <c r="M53" s="252"/>
      <c r="N53" s="252"/>
      <c r="O53" s="252"/>
    </row>
    <row r="54" spans="1:15" ht="15.75" customHeight="1">
      <c r="A54" s="252"/>
      <c r="B54" s="252"/>
      <c r="C54" s="252"/>
      <c r="D54" s="252"/>
      <c r="E54" s="257"/>
      <c r="F54" s="252"/>
      <c r="G54" s="252"/>
      <c r="H54" s="252"/>
      <c r="I54" s="252"/>
      <c r="J54" s="252"/>
      <c r="K54" s="252"/>
      <c r="L54" s="252"/>
      <c r="M54" s="252"/>
      <c r="N54" s="252"/>
      <c r="O54" s="252"/>
    </row>
    <row r="55" spans="1:15" ht="15.75" customHeight="1">
      <c r="A55" s="252"/>
      <c r="B55" s="252"/>
      <c r="C55" s="252"/>
      <c r="D55" s="252"/>
      <c r="E55" s="257"/>
      <c r="F55" s="252"/>
      <c r="G55" s="252"/>
      <c r="H55" s="252"/>
      <c r="I55" s="252"/>
      <c r="J55" s="252"/>
      <c r="K55" s="252"/>
      <c r="L55" s="252"/>
      <c r="M55" s="252"/>
      <c r="N55" s="252"/>
      <c r="O55" s="252"/>
    </row>
    <row r="56" spans="1:15" ht="15.75" customHeight="1">
      <c r="A56" s="252"/>
      <c r="B56" s="252"/>
      <c r="C56" s="252"/>
      <c r="D56" s="252"/>
      <c r="E56" s="257"/>
      <c r="F56" s="252"/>
      <c r="G56" s="252"/>
      <c r="H56" s="252"/>
      <c r="I56" s="252"/>
      <c r="J56" s="252"/>
      <c r="K56" s="252"/>
      <c r="L56" s="252"/>
      <c r="M56" s="252"/>
      <c r="N56" s="252"/>
      <c r="O56" s="252"/>
    </row>
    <row r="57" spans="1:15" ht="15.75" customHeight="1">
      <c r="A57" s="252"/>
      <c r="B57" s="252"/>
      <c r="C57" s="252"/>
      <c r="D57" s="252"/>
      <c r="E57" s="257"/>
      <c r="F57" s="252"/>
      <c r="G57" s="252"/>
      <c r="H57" s="252"/>
      <c r="I57" s="252"/>
      <c r="J57" s="252"/>
      <c r="K57" s="252"/>
      <c r="L57" s="252"/>
      <c r="M57" s="252"/>
      <c r="N57" s="252"/>
      <c r="O57" s="252"/>
    </row>
    <row r="58" spans="1:15" ht="15.75" customHeight="1">
      <c r="A58" s="252"/>
      <c r="B58" s="252"/>
      <c r="C58" s="252"/>
      <c r="D58" s="252"/>
      <c r="E58" s="257"/>
      <c r="F58" s="252"/>
      <c r="G58" s="252"/>
      <c r="H58" s="252"/>
      <c r="I58" s="252"/>
      <c r="J58" s="252"/>
      <c r="K58" s="252"/>
      <c r="L58" s="252"/>
      <c r="M58" s="252"/>
      <c r="N58" s="252"/>
      <c r="O58" s="252"/>
    </row>
    <row r="59" spans="1:15" ht="15.75" customHeight="1">
      <c r="A59" s="252"/>
      <c r="B59" s="252"/>
      <c r="C59" s="252"/>
      <c r="D59" s="252"/>
      <c r="E59" s="257"/>
      <c r="F59" s="252"/>
      <c r="G59" s="252"/>
      <c r="H59" s="252"/>
      <c r="I59" s="252"/>
      <c r="J59" s="252"/>
      <c r="K59" s="252"/>
      <c r="L59" s="252"/>
      <c r="M59" s="252"/>
      <c r="N59" s="252"/>
      <c r="O59" s="252"/>
    </row>
    <row r="60" spans="1:15" ht="15.75" customHeight="1">
      <c r="A60" s="252"/>
      <c r="B60" s="252"/>
      <c r="C60" s="252"/>
      <c r="D60" s="252"/>
      <c r="E60" s="257"/>
      <c r="F60" s="252"/>
      <c r="G60" s="252"/>
      <c r="H60" s="252"/>
      <c r="I60" s="252"/>
      <c r="J60" s="252"/>
      <c r="K60" s="252"/>
      <c r="L60" s="252"/>
      <c r="M60" s="252"/>
      <c r="N60" s="252"/>
      <c r="O60" s="252"/>
    </row>
    <row r="61" spans="1:15" ht="15.75" customHeight="1">
      <c r="A61" s="252"/>
      <c r="B61" s="252"/>
      <c r="C61" s="252"/>
      <c r="D61" s="252"/>
      <c r="E61" s="257"/>
      <c r="F61" s="252"/>
      <c r="G61" s="252"/>
      <c r="H61" s="252"/>
      <c r="I61" s="252"/>
      <c r="J61" s="252"/>
      <c r="K61" s="252"/>
      <c r="L61" s="252"/>
      <c r="M61" s="252"/>
      <c r="N61" s="252"/>
      <c r="O61" s="252"/>
    </row>
    <row r="62" spans="1:15" ht="15.75" customHeight="1">
      <c r="A62" s="252"/>
      <c r="B62" s="252"/>
      <c r="C62" s="252"/>
      <c r="D62" s="252"/>
      <c r="E62" s="257"/>
      <c r="F62" s="252"/>
      <c r="G62" s="252"/>
      <c r="H62" s="252"/>
      <c r="I62" s="252"/>
      <c r="J62" s="252"/>
      <c r="K62" s="252"/>
      <c r="L62" s="252"/>
      <c r="M62" s="252"/>
      <c r="N62" s="252"/>
      <c r="O62" s="252"/>
    </row>
    <row r="63" spans="1:15" ht="15.75" customHeight="1">
      <c r="E63" s="9"/>
    </row>
    <row r="64" spans="1:1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row r="1004" spans="5:5" ht="15.75" customHeight="1">
      <c r="E1004" s="9"/>
    </row>
    <row r="1005" spans="5:5" ht="15.75" customHeight="1">
      <c r="E1005" s="9"/>
    </row>
    <row r="1006" spans="5:5" ht="15.75" customHeight="1">
      <c r="E1006" s="9"/>
    </row>
    <row r="1007" spans="5:5" ht="15.75" customHeight="1">
      <c r="E1007" s="9"/>
    </row>
    <row r="1008" spans="5:5" ht="15.75" customHeight="1">
      <c r="E1008" s="9"/>
    </row>
    <row r="1009" spans="5:5" ht="15.75" customHeight="1">
      <c r="E1009" s="9"/>
    </row>
    <row r="1010" spans="5:5" ht="15.75" customHeight="1">
      <c r="E1010" s="9"/>
    </row>
    <row r="1011" spans="5:5" ht="15.75" customHeight="1">
      <c r="E1011" s="9"/>
    </row>
    <row r="1012" spans="5:5" ht="15.75" customHeight="1">
      <c r="E1012" s="9"/>
    </row>
    <row r="1013" spans="5:5" ht="15.75" customHeight="1">
      <c r="E1013" s="9"/>
    </row>
    <row r="1014" spans="5:5" ht="15.75" customHeight="1">
      <c r="E1014" s="9"/>
    </row>
    <row r="1015" spans="5:5" ht="15.75" customHeight="1">
      <c r="E1015" s="9"/>
    </row>
  </sheetData>
  <mergeCells count="53">
    <mergeCell ref="A6:B6"/>
    <mergeCell ref="A1:F2"/>
    <mergeCell ref="A3:I3"/>
    <mergeCell ref="A4:B5"/>
    <mergeCell ref="C4:F4"/>
    <mergeCell ref="G4:I4"/>
    <mergeCell ref="A18:B18"/>
    <mergeCell ref="A7:B7"/>
    <mergeCell ref="A8:B8"/>
    <mergeCell ref="A9:B9"/>
    <mergeCell ref="A10:B10"/>
    <mergeCell ref="A11:B11"/>
    <mergeCell ref="A12:B12"/>
    <mergeCell ref="A13:B13"/>
    <mergeCell ref="A14:B14"/>
    <mergeCell ref="A15:B15"/>
    <mergeCell ref="A16:B16"/>
    <mergeCell ref="A17:B17"/>
    <mergeCell ref="A30:B30"/>
    <mergeCell ref="A19:B19"/>
    <mergeCell ref="A20:B20"/>
    <mergeCell ref="A21:B21"/>
    <mergeCell ref="A22:B22"/>
    <mergeCell ref="A23:B23"/>
    <mergeCell ref="A24:B24"/>
    <mergeCell ref="A25:B25"/>
    <mergeCell ref="A26:B26"/>
    <mergeCell ref="A27:B27"/>
    <mergeCell ref="A28:B28"/>
    <mergeCell ref="A29:B29"/>
    <mergeCell ref="A41:B41"/>
    <mergeCell ref="C31:E31"/>
    <mergeCell ref="G31:H31"/>
    <mergeCell ref="A32:H32"/>
    <mergeCell ref="A33:I33"/>
    <mergeCell ref="A34:B35"/>
    <mergeCell ref="C34:F34"/>
    <mergeCell ref="G34:I34"/>
    <mergeCell ref="A36:B36"/>
    <mergeCell ref="A37:B37"/>
    <mergeCell ref="A38:B38"/>
    <mergeCell ref="A39:B39"/>
    <mergeCell ref="A40:B40"/>
    <mergeCell ref="A48:B48"/>
    <mergeCell ref="C49:E49"/>
    <mergeCell ref="G49:H49"/>
    <mergeCell ref="A50:H50"/>
    <mergeCell ref="A42:B42"/>
    <mergeCell ref="A43:B43"/>
    <mergeCell ref="A44:B44"/>
    <mergeCell ref="A45:B45"/>
    <mergeCell ref="A46:B46"/>
    <mergeCell ref="A47:B47"/>
  </mergeCells>
  <conditionalFormatting sqref="G2:H2">
    <cfRule type="expression" dxfId="6" priority="1" stopIfTrue="1">
      <formula>"MM/DD/YY"</formula>
    </cfRule>
  </conditionalFormatting>
  <printOptions horizontalCentered="1"/>
  <pageMargins left="0.75" right="0.75" top="1" bottom="1" header="0" footer="0"/>
  <pageSetup scale="74" fitToHeight="0" orientation="portrait" r:id="rId1"/>
  <rowBreaks count="1" manualBreakCount="1">
    <brk id="32" max="16383" man="1"/>
  </rowBreaks>
  <drawing r:id="rId2"/>
  <legacyDrawing r:id="rId3"/>
  <controls>
    <mc:AlternateContent xmlns:mc="http://schemas.openxmlformats.org/markup-compatibility/2006">
      <mc:Choice Requires="x14">
        <control shapeId="23553" r:id="rId4" name="CommandButton1">
          <controlPr defaultSize="0" autoLine="0" altText="Add A Row Command Button" r:id="rId5">
            <anchor moveWithCells="1">
              <from>
                <xdr:col>9</xdr:col>
                <xdr:colOff>266700</xdr:colOff>
                <xdr:row>29</xdr:row>
                <xdr:rowOff>12700</xdr:rowOff>
              </from>
              <to>
                <xdr:col>11</xdr:col>
                <xdr:colOff>393700</xdr:colOff>
                <xdr:row>30</xdr:row>
                <xdr:rowOff>25400</xdr:rowOff>
              </to>
            </anchor>
          </controlPr>
        </control>
      </mc:Choice>
      <mc:Fallback>
        <control shapeId="23553" r:id="rId4" name="CommandButton1"/>
      </mc:Fallback>
    </mc:AlternateContent>
  </control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28F59-186B-446A-9B13-70151B2841A7}">
  <sheetPr codeName="Sheet23">
    <pageSetUpPr fitToPage="1"/>
  </sheetPr>
  <dimension ref="A1:Z1015"/>
  <sheetViews>
    <sheetView topLeftCell="C18" zoomScaleNormal="100" zoomScaleSheetLayoutView="90" workbookViewId="0">
      <selection activeCell="F52" sqref="F52"/>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199</v>
      </c>
      <c r="B1" s="387"/>
      <c r="C1" s="387"/>
      <c r="D1" s="387"/>
      <c r="E1" s="387"/>
      <c r="F1" s="387"/>
      <c r="G1" s="258" t="s">
        <v>165</v>
      </c>
      <c r="H1" s="259"/>
      <c r="I1" s="162" t="s">
        <v>166</v>
      </c>
      <c r="J1" s="252"/>
      <c r="K1" s="252"/>
      <c r="L1" s="252"/>
      <c r="M1" s="252"/>
      <c r="N1" s="252"/>
      <c r="O1" s="252"/>
    </row>
    <row r="2" spans="1:26" ht="15" customHeight="1" thickBot="1">
      <c r="A2" s="388"/>
      <c r="B2" s="389"/>
      <c r="C2" s="389"/>
      <c r="D2" s="389"/>
      <c r="E2" s="389"/>
      <c r="F2" s="389"/>
      <c r="G2" s="163" t="str">
        <f>IF(INPUT!C3=0,"",INPUT!C3)</f>
        <v>RLP # 36C248-25-R-0110 – EXHIBIT K</v>
      </c>
      <c r="H2" s="163"/>
      <c r="I2" s="164" t="str">
        <f>IF(INPUT!C10=0,"",INPUT!C10)</f>
        <v/>
      </c>
      <c r="J2" s="252"/>
      <c r="K2" s="252"/>
      <c r="L2" s="252"/>
      <c r="M2" s="252"/>
      <c r="N2" s="252"/>
      <c r="O2" s="252"/>
    </row>
    <row r="3" spans="1:26" s="10" customFormat="1" ht="45" customHeight="1" thickBot="1">
      <c r="A3" s="480" t="s">
        <v>200</v>
      </c>
      <c r="B3" s="402"/>
      <c r="C3" s="402"/>
      <c r="D3" s="402"/>
      <c r="E3" s="402"/>
      <c r="F3" s="402"/>
      <c r="G3" s="402"/>
      <c r="H3" s="402"/>
      <c r="I3" s="403"/>
      <c r="J3" s="253"/>
      <c r="K3" s="253"/>
      <c r="L3" s="253"/>
      <c r="M3" s="253"/>
      <c r="N3" s="253"/>
      <c r="O3" s="253"/>
    </row>
    <row r="4" spans="1:26" ht="15.5">
      <c r="A4" s="498" t="s">
        <v>93</v>
      </c>
      <c r="B4" s="499"/>
      <c r="C4" s="390" t="s">
        <v>91</v>
      </c>
      <c r="D4" s="382"/>
      <c r="E4" s="382"/>
      <c r="F4" s="383"/>
      <c r="G4" s="381" t="s">
        <v>92</v>
      </c>
      <c r="H4" s="382"/>
      <c r="I4" s="383"/>
      <c r="J4" s="252"/>
      <c r="K4" s="252"/>
      <c r="L4" s="252"/>
      <c r="M4" s="252"/>
      <c r="N4" s="252"/>
      <c r="O4" s="252"/>
    </row>
    <row r="5" spans="1:26" ht="15.75" customHeight="1" thickBot="1">
      <c r="A5" s="454"/>
      <c r="B5" s="500"/>
      <c r="C5" s="37" t="s">
        <v>129</v>
      </c>
      <c r="D5" s="27" t="s">
        <v>95</v>
      </c>
      <c r="E5" s="28" t="s">
        <v>61</v>
      </c>
      <c r="F5" s="38" t="s">
        <v>79</v>
      </c>
      <c r="G5" s="44" t="s">
        <v>96</v>
      </c>
      <c r="H5" s="30" t="s">
        <v>85</v>
      </c>
      <c r="I5" s="31" t="s">
        <v>79</v>
      </c>
      <c r="J5" s="252"/>
      <c r="K5" s="252"/>
      <c r="L5" s="252"/>
      <c r="M5" s="252"/>
      <c r="N5" s="252"/>
      <c r="O5" s="252"/>
    </row>
    <row r="6" spans="1:26" ht="21.75" customHeight="1">
      <c r="A6" s="476" t="s">
        <v>149</v>
      </c>
      <c r="B6" s="497"/>
      <c r="C6" s="34">
        <v>1</v>
      </c>
      <c r="D6" s="19" t="s">
        <v>148</v>
      </c>
      <c r="E6" s="11">
        <v>0</v>
      </c>
      <c r="F6" s="260">
        <f t="shared" ref="F6:F30" si="0">C6*E6</f>
        <v>0</v>
      </c>
      <c r="G6" s="34">
        <v>1</v>
      </c>
      <c r="H6" s="17">
        <v>0</v>
      </c>
      <c r="I6" s="261">
        <f t="shared" ref="I6:I30" si="1">G6*H6</f>
        <v>0</v>
      </c>
      <c r="J6" s="254"/>
      <c r="K6" s="254"/>
      <c r="L6" s="254"/>
      <c r="M6" s="254"/>
      <c r="N6" s="254"/>
      <c r="O6" s="254"/>
      <c r="P6" s="6"/>
      <c r="Q6" s="6"/>
      <c r="R6" s="6"/>
      <c r="S6" s="6"/>
      <c r="T6" s="6"/>
      <c r="U6" s="6"/>
      <c r="V6" s="6"/>
      <c r="W6" s="6"/>
      <c r="X6" s="6"/>
      <c r="Y6" s="6"/>
      <c r="Z6" s="6"/>
    </row>
    <row r="7" spans="1:26" ht="21.75" customHeight="1">
      <c r="A7" s="487"/>
      <c r="B7" s="495"/>
      <c r="C7" s="34"/>
      <c r="D7" s="19"/>
      <c r="E7" s="11"/>
      <c r="F7" s="260">
        <f>C7*E7</f>
        <v>0</v>
      </c>
      <c r="G7" s="43"/>
      <c r="H7" s="18"/>
      <c r="I7" s="179">
        <f t="shared" si="1"/>
        <v>0</v>
      </c>
      <c r="J7" s="254"/>
      <c r="K7" s="254"/>
      <c r="L7" s="254"/>
      <c r="M7" s="254"/>
      <c r="N7" s="254"/>
      <c r="O7" s="254"/>
      <c r="P7" s="6"/>
      <c r="Q7" s="6"/>
      <c r="R7" s="6"/>
      <c r="S7" s="6"/>
      <c r="T7" s="6"/>
      <c r="U7" s="6"/>
      <c r="V7" s="6"/>
      <c r="W7" s="6"/>
      <c r="X7" s="6"/>
      <c r="Y7" s="6"/>
      <c r="Z7" s="6"/>
    </row>
    <row r="8" spans="1:26" ht="21.75" customHeight="1">
      <c r="A8" s="487"/>
      <c r="B8" s="495"/>
      <c r="C8" s="34"/>
      <c r="D8" s="19"/>
      <c r="E8" s="11"/>
      <c r="F8" s="262">
        <f t="shared" si="0"/>
        <v>0</v>
      </c>
      <c r="G8" s="43"/>
      <c r="H8" s="18"/>
      <c r="I8" s="179">
        <f t="shared" si="1"/>
        <v>0</v>
      </c>
      <c r="J8" s="254"/>
      <c r="K8" s="254"/>
      <c r="L8" s="254"/>
      <c r="M8" s="254"/>
      <c r="N8" s="254"/>
      <c r="O8" s="254"/>
      <c r="P8" s="6"/>
      <c r="Q8" s="6"/>
      <c r="R8" s="6"/>
      <c r="S8" s="6"/>
      <c r="T8" s="6"/>
      <c r="U8" s="6"/>
      <c r="V8" s="6"/>
      <c r="W8" s="6"/>
      <c r="X8" s="6"/>
      <c r="Y8" s="6"/>
      <c r="Z8" s="6"/>
    </row>
    <row r="9" spans="1:26" ht="21.75" customHeight="1">
      <c r="A9" s="487"/>
      <c r="B9" s="495"/>
      <c r="C9" s="34"/>
      <c r="D9" s="19"/>
      <c r="E9" s="11"/>
      <c r="F9" s="262">
        <f t="shared" si="0"/>
        <v>0</v>
      </c>
      <c r="G9" s="43"/>
      <c r="H9" s="18"/>
      <c r="I9" s="179">
        <f t="shared" si="1"/>
        <v>0</v>
      </c>
      <c r="J9" s="254"/>
      <c r="K9" s="254"/>
      <c r="L9" s="254"/>
      <c r="M9" s="254"/>
      <c r="N9" s="254"/>
      <c r="O9" s="254"/>
      <c r="P9" s="6"/>
      <c r="Q9" s="6"/>
      <c r="R9" s="6"/>
      <c r="S9" s="6"/>
      <c r="T9" s="6"/>
      <c r="U9" s="6"/>
      <c r="V9" s="6"/>
      <c r="W9" s="6"/>
      <c r="X9" s="6"/>
      <c r="Y9" s="6"/>
      <c r="Z9" s="6"/>
    </row>
    <row r="10" spans="1:26" ht="21.75" customHeight="1">
      <c r="A10" s="487"/>
      <c r="B10" s="495"/>
      <c r="C10" s="34"/>
      <c r="D10" s="19"/>
      <c r="E10" s="11"/>
      <c r="F10" s="260">
        <f t="shared" si="0"/>
        <v>0</v>
      </c>
      <c r="G10" s="43"/>
      <c r="H10" s="18"/>
      <c r="I10" s="179">
        <f t="shared" si="1"/>
        <v>0</v>
      </c>
      <c r="J10" s="254"/>
      <c r="K10" s="254"/>
      <c r="L10" s="254"/>
      <c r="M10" s="254"/>
      <c r="N10" s="254"/>
      <c r="O10" s="254"/>
      <c r="P10" s="6"/>
      <c r="Q10" s="6"/>
      <c r="R10" s="6"/>
      <c r="S10" s="6"/>
      <c r="T10" s="6"/>
      <c r="U10" s="6"/>
      <c r="V10" s="6"/>
      <c r="W10" s="6"/>
      <c r="X10" s="6"/>
      <c r="Y10" s="6"/>
      <c r="Z10" s="6"/>
    </row>
    <row r="11" spans="1:26" ht="21.75" customHeight="1">
      <c r="A11" s="490"/>
      <c r="B11" s="496"/>
      <c r="C11" s="34"/>
      <c r="D11" s="19"/>
      <c r="E11" s="11"/>
      <c r="F11" s="260">
        <f t="shared" si="0"/>
        <v>0</v>
      </c>
      <c r="G11" s="43"/>
      <c r="H11" s="18"/>
      <c r="I11" s="179">
        <f t="shared" si="1"/>
        <v>0</v>
      </c>
      <c r="J11" s="254"/>
      <c r="K11" s="254"/>
      <c r="L11" s="254"/>
      <c r="M11" s="254"/>
      <c r="N11" s="254"/>
      <c r="O11" s="254"/>
      <c r="P11" s="6"/>
      <c r="Q11" s="6"/>
      <c r="R11" s="6"/>
      <c r="S11" s="6"/>
      <c r="T11" s="6"/>
      <c r="U11" s="6"/>
      <c r="V11" s="6"/>
      <c r="W11" s="6"/>
      <c r="X11" s="6"/>
      <c r="Y11" s="6"/>
      <c r="Z11" s="6"/>
    </row>
    <row r="12" spans="1:26" ht="21.75" customHeight="1">
      <c r="A12" s="487"/>
      <c r="B12" s="495"/>
      <c r="C12" s="34"/>
      <c r="D12" s="19"/>
      <c r="E12" s="11"/>
      <c r="F12" s="260">
        <f t="shared" si="0"/>
        <v>0</v>
      </c>
      <c r="G12" s="43"/>
      <c r="H12" s="18"/>
      <c r="I12" s="179">
        <f t="shared" si="1"/>
        <v>0</v>
      </c>
      <c r="J12" s="254"/>
      <c r="K12" s="254"/>
      <c r="L12" s="254"/>
      <c r="M12" s="254"/>
      <c r="N12" s="254"/>
      <c r="O12" s="254"/>
      <c r="P12" s="6"/>
      <c r="Q12" s="6"/>
      <c r="R12" s="6"/>
      <c r="S12" s="6"/>
      <c r="T12" s="6"/>
      <c r="U12" s="6"/>
      <c r="V12" s="6"/>
      <c r="W12" s="6"/>
      <c r="X12" s="6"/>
      <c r="Y12" s="6"/>
      <c r="Z12" s="6"/>
    </row>
    <row r="13" spans="1:26" ht="21.75" customHeight="1">
      <c r="A13" s="490"/>
      <c r="B13" s="496"/>
      <c r="C13" s="34"/>
      <c r="D13" s="19"/>
      <c r="E13" s="11"/>
      <c r="F13" s="260">
        <f t="shared" si="0"/>
        <v>0</v>
      </c>
      <c r="G13" s="43"/>
      <c r="H13" s="18"/>
      <c r="I13" s="179">
        <f t="shared" si="1"/>
        <v>0</v>
      </c>
      <c r="J13" s="254"/>
      <c r="K13" s="254"/>
      <c r="L13" s="254"/>
      <c r="M13" s="254"/>
      <c r="N13" s="254"/>
      <c r="O13" s="254"/>
      <c r="P13" s="6"/>
      <c r="Q13" s="6"/>
      <c r="R13" s="6"/>
      <c r="S13" s="6"/>
      <c r="T13" s="6"/>
      <c r="U13" s="6"/>
      <c r="V13" s="6"/>
      <c r="W13" s="6"/>
      <c r="X13" s="6"/>
      <c r="Y13" s="6"/>
      <c r="Z13" s="6"/>
    </row>
    <row r="14" spans="1:26" ht="21.75" customHeight="1">
      <c r="A14" s="490"/>
      <c r="B14" s="496"/>
      <c r="C14" s="34"/>
      <c r="D14" s="19"/>
      <c r="E14" s="11"/>
      <c r="F14" s="260">
        <f t="shared" si="0"/>
        <v>0</v>
      </c>
      <c r="G14" s="43"/>
      <c r="H14" s="18"/>
      <c r="I14" s="179">
        <f t="shared" si="1"/>
        <v>0</v>
      </c>
      <c r="J14" s="254"/>
      <c r="K14" s="254"/>
      <c r="L14" s="254"/>
      <c r="M14" s="254"/>
      <c r="N14" s="254"/>
      <c r="O14" s="254"/>
      <c r="P14" s="6"/>
      <c r="Q14" s="6"/>
      <c r="R14" s="6"/>
      <c r="S14" s="6"/>
      <c r="T14" s="6"/>
      <c r="U14" s="6"/>
      <c r="V14" s="6"/>
      <c r="W14" s="6"/>
      <c r="X14" s="6"/>
      <c r="Y14" s="6"/>
      <c r="Z14" s="6"/>
    </row>
    <row r="15" spans="1:26" ht="21.75" customHeight="1">
      <c r="A15" s="490"/>
      <c r="B15" s="496"/>
      <c r="C15" s="34"/>
      <c r="D15" s="19"/>
      <c r="E15" s="11"/>
      <c r="F15" s="260">
        <f t="shared" si="0"/>
        <v>0</v>
      </c>
      <c r="G15" s="43"/>
      <c r="H15" s="18"/>
      <c r="I15" s="179">
        <f t="shared" si="1"/>
        <v>0</v>
      </c>
      <c r="J15" s="254"/>
      <c r="K15" s="254"/>
      <c r="L15" s="254"/>
      <c r="M15" s="254"/>
      <c r="N15" s="254"/>
      <c r="O15" s="254"/>
      <c r="P15" s="6"/>
      <c r="Q15" s="6"/>
      <c r="R15" s="6"/>
      <c r="S15" s="6"/>
      <c r="T15" s="6"/>
      <c r="U15" s="6"/>
      <c r="V15" s="6"/>
      <c r="W15" s="6"/>
      <c r="X15" s="6"/>
      <c r="Y15" s="6"/>
      <c r="Z15" s="6"/>
    </row>
    <row r="16" spans="1:26" ht="21.75" customHeight="1">
      <c r="A16" s="490"/>
      <c r="B16" s="496"/>
      <c r="C16" s="34"/>
      <c r="D16" s="19"/>
      <c r="E16" s="11"/>
      <c r="F16" s="260">
        <f t="shared" si="0"/>
        <v>0</v>
      </c>
      <c r="G16" s="43"/>
      <c r="H16" s="18"/>
      <c r="I16" s="179">
        <f t="shared" si="1"/>
        <v>0</v>
      </c>
      <c r="J16" s="254"/>
      <c r="K16" s="254"/>
      <c r="L16" s="254"/>
      <c r="M16" s="254"/>
      <c r="N16" s="254"/>
      <c r="O16" s="254"/>
      <c r="P16" s="6"/>
      <c r="Q16" s="6"/>
      <c r="R16" s="6"/>
      <c r="S16" s="6"/>
      <c r="T16" s="6"/>
      <c r="U16" s="6"/>
      <c r="V16" s="6"/>
      <c r="W16" s="6"/>
      <c r="X16" s="6"/>
      <c r="Y16" s="6"/>
      <c r="Z16" s="6"/>
    </row>
    <row r="17" spans="1:26" ht="21.75" customHeight="1">
      <c r="A17" s="490"/>
      <c r="B17" s="496"/>
      <c r="C17" s="34"/>
      <c r="D17" s="19"/>
      <c r="E17" s="11"/>
      <c r="F17" s="260">
        <f t="shared" si="0"/>
        <v>0</v>
      </c>
      <c r="G17" s="43"/>
      <c r="H17" s="18"/>
      <c r="I17" s="179">
        <f t="shared" si="1"/>
        <v>0</v>
      </c>
      <c r="J17" s="254"/>
      <c r="K17" s="254"/>
      <c r="L17" s="254"/>
      <c r="M17" s="254"/>
      <c r="N17" s="254"/>
      <c r="O17" s="254"/>
      <c r="P17" s="6"/>
      <c r="Q17" s="6"/>
      <c r="R17" s="6"/>
      <c r="S17" s="6"/>
      <c r="T17" s="6"/>
      <c r="U17" s="6"/>
      <c r="V17" s="6"/>
      <c r="W17" s="6"/>
      <c r="X17" s="6"/>
      <c r="Y17" s="6"/>
      <c r="Z17" s="6"/>
    </row>
    <row r="18" spans="1:26" ht="21.75" customHeight="1">
      <c r="A18" s="490"/>
      <c r="B18" s="496"/>
      <c r="C18" s="34"/>
      <c r="D18" s="19"/>
      <c r="E18" s="11"/>
      <c r="F18" s="260">
        <f t="shared" si="0"/>
        <v>0</v>
      </c>
      <c r="G18" s="43"/>
      <c r="H18" s="18"/>
      <c r="I18" s="179">
        <f t="shared" si="1"/>
        <v>0</v>
      </c>
      <c r="J18" s="254"/>
      <c r="K18" s="254"/>
      <c r="L18" s="254"/>
      <c r="M18" s="254"/>
      <c r="N18" s="254"/>
      <c r="O18" s="254"/>
      <c r="P18" s="6"/>
      <c r="Q18" s="6"/>
      <c r="R18" s="6"/>
      <c r="S18" s="6"/>
      <c r="T18" s="6"/>
      <c r="U18" s="6"/>
      <c r="V18" s="6"/>
      <c r="W18" s="6"/>
      <c r="X18" s="6"/>
      <c r="Y18" s="6"/>
      <c r="Z18" s="6"/>
    </row>
    <row r="19" spans="1:26" ht="21.75" customHeight="1">
      <c r="A19" s="490"/>
      <c r="B19" s="496"/>
      <c r="C19" s="34"/>
      <c r="D19" s="19"/>
      <c r="E19" s="11"/>
      <c r="F19" s="260">
        <f t="shared" si="0"/>
        <v>0</v>
      </c>
      <c r="G19" s="43"/>
      <c r="H19" s="18"/>
      <c r="I19" s="179">
        <f t="shared" si="1"/>
        <v>0</v>
      </c>
      <c r="J19" s="254"/>
      <c r="K19" s="254"/>
      <c r="L19" s="254"/>
      <c r="M19" s="254"/>
      <c r="N19" s="254"/>
      <c r="O19" s="254"/>
      <c r="P19" s="6"/>
      <c r="Q19" s="6"/>
      <c r="R19" s="6"/>
      <c r="S19" s="6"/>
      <c r="T19" s="6"/>
      <c r="U19" s="6"/>
      <c r="V19" s="6"/>
      <c r="W19" s="6"/>
      <c r="X19" s="6"/>
      <c r="Y19" s="6"/>
      <c r="Z19" s="6"/>
    </row>
    <row r="20" spans="1:26" ht="21.75" customHeight="1">
      <c r="A20" s="490"/>
      <c r="B20" s="496"/>
      <c r="C20" s="34"/>
      <c r="D20" s="19"/>
      <c r="E20" s="11"/>
      <c r="F20" s="260">
        <f t="shared" si="0"/>
        <v>0</v>
      </c>
      <c r="G20" s="43"/>
      <c r="H20" s="18"/>
      <c r="I20" s="179">
        <f t="shared" si="1"/>
        <v>0</v>
      </c>
      <c r="J20" s="254"/>
      <c r="K20" s="254"/>
      <c r="L20" s="254"/>
      <c r="M20" s="254"/>
      <c r="N20" s="254"/>
      <c r="O20" s="254"/>
      <c r="P20" s="6"/>
      <c r="Q20" s="6"/>
      <c r="R20" s="6"/>
      <c r="S20" s="6"/>
      <c r="T20" s="6"/>
      <c r="U20" s="6"/>
      <c r="V20" s="6"/>
      <c r="W20" s="6"/>
      <c r="X20" s="6"/>
      <c r="Y20" s="6"/>
      <c r="Z20" s="6"/>
    </row>
    <row r="21" spans="1:26" ht="21.75" customHeight="1">
      <c r="A21" s="490"/>
      <c r="B21" s="496"/>
      <c r="C21" s="34"/>
      <c r="D21" s="19"/>
      <c r="E21" s="11"/>
      <c r="F21" s="260">
        <f t="shared" si="0"/>
        <v>0</v>
      </c>
      <c r="G21" s="43"/>
      <c r="H21" s="18"/>
      <c r="I21" s="179">
        <f t="shared" si="1"/>
        <v>0</v>
      </c>
      <c r="J21" s="254"/>
      <c r="K21" s="254"/>
      <c r="L21" s="254"/>
      <c r="M21" s="254"/>
      <c r="N21" s="254"/>
      <c r="O21" s="254"/>
      <c r="P21" s="6"/>
      <c r="Q21" s="6"/>
      <c r="R21" s="6"/>
      <c r="S21" s="6"/>
      <c r="T21" s="6"/>
      <c r="U21" s="6"/>
      <c r="V21" s="6"/>
      <c r="W21" s="6"/>
      <c r="X21" s="6"/>
      <c r="Y21" s="6"/>
      <c r="Z21" s="6"/>
    </row>
    <row r="22" spans="1:26" ht="21.75" customHeight="1">
      <c r="A22" s="490"/>
      <c r="B22" s="496"/>
      <c r="C22" s="34"/>
      <c r="D22" s="19"/>
      <c r="E22" s="11"/>
      <c r="F22" s="260">
        <f t="shared" si="0"/>
        <v>0</v>
      </c>
      <c r="G22" s="43"/>
      <c r="H22" s="18"/>
      <c r="I22" s="179">
        <f t="shared" si="1"/>
        <v>0</v>
      </c>
      <c r="J22" s="254"/>
      <c r="K22" s="254"/>
      <c r="L22" s="254"/>
      <c r="M22" s="254"/>
      <c r="N22" s="254"/>
      <c r="O22" s="254"/>
      <c r="P22" s="6"/>
      <c r="Q22" s="6"/>
      <c r="R22" s="6"/>
      <c r="S22" s="6"/>
      <c r="T22" s="6"/>
      <c r="U22" s="6"/>
      <c r="V22" s="6"/>
      <c r="W22" s="6"/>
      <c r="X22" s="6"/>
      <c r="Y22" s="6"/>
      <c r="Z22" s="6"/>
    </row>
    <row r="23" spans="1:26" ht="21.75" customHeight="1">
      <c r="A23" s="490"/>
      <c r="B23" s="496"/>
      <c r="C23" s="34"/>
      <c r="D23" s="19"/>
      <c r="E23" s="11"/>
      <c r="F23" s="260">
        <f t="shared" si="0"/>
        <v>0</v>
      </c>
      <c r="G23" s="43"/>
      <c r="H23" s="18"/>
      <c r="I23" s="179">
        <f t="shared" si="1"/>
        <v>0</v>
      </c>
      <c r="J23" s="254"/>
      <c r="K23" s="254"/>
      <c r="L23" s="254"/>
      <c r="M23" s="254"/>
      <c r="N23" s="254"/>
      <c r="O23" s="254"/>
      <c r="P23" s="6"/>
      <c r="Q23" s="6"/>
      <c r="R23" s="6"/>
      <c r="S23" s="6"/>
      <c r="T23" s="6"/>
      <c r="U23" s="6"/>
      <c r="V23" s="6"/>
      <c r="W23" s="6"/>
      <c r="X23" s="6"/>
      <c r="Y23" s="6"/>
      <c r="Z23" s="6"/>
    </row>
    <row r="24" spans="1:26" ht="21.75" customHeight="1">
      <c r="A24" s="487"/>
      <c r="B24" s="495"/>
      <c r="C24" s="34"/>
      <c r="D24" s="19"/>
      <c r="E24" s="11"/>
      <c r="F24" s="260">
        <f t="shared" si="0"/>
        <v>0</v>
      </c>
      <c r="G24" s="43"/>
      <c r="H24" s="18"/>
      <c r="I24" s="179">
        <f t="shared" si="1"/>
        <v>0</v>
      </c>
      <c r="J24" s="254"/>
      <c r="K24" s="254"/>
      <c r="L24" s="254"/>
      <c r="M24" s="254"/>
      <c r="N24" s="254"/>
      <c r="O24" s="254"/>
      <c r="P24" s="6"/>
      <c r="Q24" s="6"/>
      <c r="R24" s="6"/>
      <c r="S24" s="6"/>
      <c r="T24" s="6"/>
      <c r="U24" s="6"/>
      <c r="V24" s="6"/>
      <c r="W24" s="6"/>
      <c r="X24" s="6"/>
      <c r="Y24" s="6"/>
      <c r="Z24" s="6"/>
    </row>
    <row r="25" spans="1:26" ht="21.75" customHeight="1">
      <c r="A25" s="487"/>
      <c r="B25" s="495"/>
      <c r="C25" s="34"/>
      <c r="D25" s="19"/>
      <c r="E25" s="11"/>
      <c r="F25" s="260">
        <f t="shared" si="0"/>
        <v>0</v>
      </c>
      <c r="G25" s="43"/>
      <c r="H25" s="18"/>
      <c r="I25" s="179">
        <f t="shared" si="1"/>
        <v>0</v>
      </c>
      <c r="J25" s="254"/>
      <c r="K25" s="254"/>
      <c r="L25" s="254"/>
      <c r="M25" s="254"/>
      <c r="N25" s="254"/>
      <c r="O25" s="254"/>
      <c r="P25" s="6"/>
      <c r="Q25" s="6"/>
      <c r="R25" s="6"/>
      <c r="S25" s="6"/>
      <c r="T25" s="6"/>
      <c r="U25" s="6"/>
      <c r="V25" s="6"/>
      <c r="W25" s="6"/>
      <c r="X25" s="6"/>
      <c r="Y25" s="6"/>
      <c r="Z25" s="6"/>
    </row>
    <row r="26" spans="1:26" ht="21.75" customHeight="1">
      <c r="A26" s="487"/>
      <c r="B26" s="495"/>
      <c r="C26" s="34"/>
      <c r="D26" s="19"/>
      <c r="E26" s="11"/>
      <c r="F26" s="260">
        <f t="shared" si="0"/>
        <v>0</v>
      </c>
      <c r="G26" s="43"/>
      <c r="H26" s="18"/>
      <c r="I26" s="179">
        <f t="shared" si="1"/>
        <v>0</v>
      </c>
      <c r="J26" s="254"/>
      <c r="K26" s="254"/>
      <c r="L26" s="254"/>
      <c r="M26" s="254"/>
      <c r="N26" s="254"/>
      <c r="O26" s="254"/>
      <c r="P26" s="6"/>
      <c r="Q26" s="6"/>
      <c r="R26" s="6"/>
      <c r="S26" s="6"/>
      <c r="T26" s="6"/>
      <c r="U26" s="6"/>
      <c r="V26" s="6"/>
      <c r="W26" s="6"/>
      <c r="X26" s="6"/>
      <c r="Y26" s="6"/>
      <c r="Z26" s="6"/>
    </row>
    <row r="27" spans="1:26" ht="21.75" customHeight="1">
      <c r="A27" s="487"/>
      <c r="B27" s="495"/>
      <c r="C27" s="34"/>
      <c r="D27" s="19"/>
      <c r="E27" s="11"/>
      <c r="F27" s="260">
        <f t="shared" si="0"/>
        <v>0</v>
      </c>
      <c r="G27" s="43"/>
      <c r="H27" s="18"/>
      <c r="I27" s="179">
        <f t="shared" si="1"/>
        <v>0</v>
      </c>
      <c r="J27" s="254"/>
      <c r="K27" s="254"/>
      <c r="L27" s="254"/>
      <c r="M27" s="254"/>
      <c r="N27" s="254"/>
      <c r="O27" s="254"/>
      <c r="P27" s="6"/>
      <c r="Q27" s="6"/>
      <c r="R27" s="6"/>
      <c r="S27" s="6"/>
      <c r="T27" s="6"/>
      <c r="U27" s="6"/>
      <c r="V27" s="6"/>
      <c r="W27" s="6"/>
      <c r="X27" s="6"/>
      <c r="Y27" s="6"/>
      <c r="Z27" s="6"/>
    </row>
    <row r="28" spans="1:26" ht="21.75" customHeight="1">
      <c r="A28" s="487"/>
      <c r="B28" s="495"/>
      <c r="C28" s="34"/>
      <c r="D28" s="19"/>
      <c r="E28" s="11"/>
      <c r="F28" s="260">
        <f t="shared" si="0"/>
        <v>0</v>
      </c>
      <c r="G28" s="43"/>
      <c r="H28" s="18"/>
      <c r="I28" s="179">
        <f t="shared" si="1"/>
        <v>0</v>
      </c>
      <c r="J28" s="254"/>
      <c r="K28" s="254"/>
      <c r="L28" s="254"/>
      <c r="M28" s="254"/>
      <c r="N28" s="254"/>
      <c r="O28" s="254"/>
      <c r="P28" s="6"/>
      <c r="Q28" s="6"/>
      <c r="R28" s="6"/>
      <c r="S28" s="6"/>
      <c r="T28" s="6"/>
      <c r="U28" s="6"/>
      <c r="V28" s="6"/>
      <c r="W28" s="6"/>
      <c r="X28" s="6"/>
      <c r="Y28" s="6"/>
      <c r="Z28" s="6"/>
    </row>
    <row r="29" spans="1:26" ht="21.75" customHeight="1">
      <c r="A29" s="487"/>
      <c r="B29" s="495"/>
      <c r="C29" s="34"/>
      <c r="D29" s="19"/>
      <c r="E29" s="11"/>
      <c r="F29" s="260">
        <f t="shared" si="0"/>
        <v>0</v>
      </c>
      <c r="G29" s="43"/>
      <c r="H29" s="18"/>
      <c r="I29" s="179">
        <f t="shared" si="1"/>
        <v>0</v>
      </c>
      <c r="J29" s="254"/>
      <c r="K29" s="254"/>
      <c r="L29" s="254"/>
      <c r="M29" s="254"/>
      <c r="N29" s="254"/>
      <c r="O29" s="254"/>
      <c r="P29" s="6"/>
      <c r="Q29" s="6"/>
      <c r="R29" s="6"/>
      <c r="S29" s="6"/>
      <c r="T29" s="6"/>
      <c r="U29" s="6"/>
      <c r="V29" s="6"/>
      <c r="W29" s="6"/>
      <c r="X29" s="6"/>
      <c r="Y29" s="6"/>
      <c r="Z29" s="6"/>
    </row>
    <row r="30" spans="1:26" ht="21.75" customHeight="1">
      <c r="A30" s="487"/>
      <c r="B30" s="495"/>
      <c r="C30" s="34"/>
      <c r="D30" s="19"/>
      <c r="E30" s="11"/>
      <c r="F30" s="263">
        <f t="shared" si="0"/>
        <v>0</v>
      </c>
      <c r="G30" s="34"/>
      <c r="H30" s="22"/>
      <c r="I30" s="182">
        <f t="shared" si="1"/>
        <v>0</v>
      </c>
      <c r="J30" s="254"/>
      <c r="K30" s="254"/>
      <c r="L30" s="254"/>
      <c r="M30" s="254"/>
      <c r="N30" s="254"/>
      <c r="O30" s="254"/>
      <c r="P30" s="6"/>
      <c r="Q30" s="6"/>
      <c r="R30" s="6"/>
      <c r="S30" s="6"/>
      <c r="T30" s="6"/>
      <c r="U30" s="6"/>
      <c r="V30" s="6"/>
      <c r="W30" s="6"/>
      <c r="X30" s="6"/>
      <c r="Y30" s="6"/>
      <c r="Z30" s="6"/>
    </row>
    <row r="31" spans="1:26" ht="15.75" customHeight="1" thickBot="1">
      <c r="A31" s="23"/>
      <c r="B31" s="24"/>
      <c r="C31" s="467" t="s">
        <v>122</v>
      </c>
      <c r="D31" s="468"/>
      <c r="E31" s="468"/>
      <c r="F31" s="25">
        <f>SUM(F6:F30)</f>
        <v>0</v>
      </c>
      <c r="G31" s="467" t="s">
        <v>123</v>
      </c>
      <c r="H31" s="468"/>
      <c r="I31" s="25">
        <f>SUM(I6:I30)</f>
        <v>0</v>
      </c>
      <c r="J31" s="255"/>
      <c r="K31" s="255"/>
      <c r="L31" s="255"/>
      <c r="M31" s="255"/>
      <c r="N31" s="255"/>
      <c r="O31" s="255"/>
      <c r="P31" s="7"/>
      <c r="Q31" s="7"/>
      <c r="R31" s="7"/>
      <c r="S31" s="7"/>
      <c r="T31" s="7"/>
      <c r="U31" s="7"/>
      <c r="V31" s="7"/>
      <c r="W31" s="7"/>
      <c r="X31" s="7"/>
      <c r="Y31" s="7"/>
      <c r="Z31" s="7"/>
    </row>
    <row r="32" spans="1:26" ht="19.5" customHeight="1" thickBot="1">
      <c r="A32" s="469" t="s">
        <v>125</v>
      </c>
      <c r="B32" s="470"/>
      <c r="C32" s="470"/>
      <c r="D32" s="470"/>
      <c r="E32" s="470"/>
      <c r="F32" s="470"/>
      <c r="G32" s="470"/>
      <c r="H32" s="470"/>
      <c r="I32" s="26">
        <f>SUM(I31,F31)</f>
        <v>0</v>
      </c>
      <c r="J32" s="255"/>
      <c r="K32" s="255"/>
      <c r="L32" s="255"/>
      <c r="M32" s="255"/>
      <c r="N32" s="255"/>
      <c r="O32" s="255"/>
      <c r="P32" s="7"/>
      <c r="Q32" s="7"/>
      <c r="R32" s="7"/>
      <c r="S32" s="7"/>
      <c r="T32" s="7"/>
      <c r="U32" s="7"/>
      <c r="V32" s="7"/>
      <c r="W32" s="7"/>
      <c r="X32" s="7"/>
      <c r="Y32" s="7"/>
      <c r="Z32" s="7"/>
    </row>
    <row r="33" spans="1:26" ht="36" customHeight="1" thickBot="1">
      <c r="A33" s="477" t="s">
        <v>201</v>
      </c>
      <c r="B33" s="478"/>
      <c r="C33" s="478"/>
      <c r="D33" s="478"/>
      <c r="E33" s="478"/>
      <c r="F33" s="478"/>
      <c r="G33" s="478"/>
      <c r="H33" s="478"/>
      <c r="I33" s="479"/>
      <c r="J33" s="255"/>
      <c r="K33" s="255"/>
      <c r="L33" s="255"/>
      <c r="M33" s="255"/>
      <c r="N33" s="255"/>
      <c r="O33" s="255"/>
      <c r="P33" s="7"/>
      <c r="Q33" s="7"/>
      <c r="R33" s="7"/>
      <c r="S33" s="7"/>
      <c r="T33" s="7"/>
      <c r="U33" s="7"/>
      <c r="V33" s="7"/>
      <c r="W33" s="7"/>
      <c r="X33" s="7"/>
      <c r="Y33" s="7"/>
      <c r="Z33" s="7"/>
    </row>
    <row r="34" spans="1:26" ht="15.5">
      <c r="A34" s="452" t="s">
        <v>93</v>
      </c>
      <c r="B34" s="453"/>
      <c r="C34" s="390" t="s">
        <v>91</v>
      </c>
      <c r="D34" s="382"/>
      <c r="E34" s="382"/>
      <c r="F34" s="383"/>
      <c r="G34" s="381" t="s">
        <v>92</v>
      </c>
      <c r="H34" s="382"/>
      <c r="I34" s="383"/>
      <c r="J34" s="256"/>
      <c r="K34" s="256"/>
      <c r="L34" s="256"/>
      <c r="M34" s="256"/>
      <c r="N34" s="256"/>
      <c r="O34" s="256"/>
      <c r="P34" s="8"/>
      <c r="Q34" s="8"/>
      <c r="R34" s="8"/>
      <c r="S34" s="8"/>
      <c r="T34" s="8"/>
      <c r="U34" s="8"/>
      <c r="V34" s="8"/>
      <c r="W34" s="8"/>
      <c r="X34" s="8"/>
      <c r="Y34" s="8"/>
      <c r="Z34" s="8"/>
    </row>
    <row r="35" spans="1:26" ht="15.75" customHeight="1" thickBot="1">
      <c r="A35" s="454"/>
      <c r="B35" s="455"/>
      <c r="C35" s="37" t="s">
        <v>129</v>
      </c>
      <c r="D35" s="27" t="s">
        <v>95</v>
      </c>
      <c r="E35" s="28" t="s">
        <v>61</v>
      </c>
      <c r="F35" s="38" t="s">
        <v>79</v>
      </c>
      <c r="G35" s="44" t="s">
        <v>96</v>
      </c>
      <c r="H35" s="30" t="s">
        <v>85</v>
      </c>
      <c r="I35" s="31" t="s">
        <v>79</v>
      </c>
      <c r="J35" s="256"/>
      <c r="K35" s="256"/>
      <c r="L35" s="256"/>
      <c r="M35" s="256"/>
      <c r="N35" s="256"/>
      <c r="O35" s="256"/>
      <c r="P35" s="8"/>
      <c r="Q35" s="8"/>
      <c r="R35" s="8"/>
      <c r="S35" s="8"/>
      <c r="T35" s="8"/>
      <c r="U35" s="8"/>
      <c r="V35" s="8"/>
      <c r="W35" s="8"/>
      <c r="X35" s="8"/>
      <c r="Y35" s="8"/>
      <c r="Z35" s="8"/>
    </row>
    <row r="36" spans="1:26" ht="21.75" customHeight="1">
      <c r="A36" s="489"/>
      <c r="B36" s="488"/>
      <c r="C36" s="39">
        <v>1</v>
      </c>
      <c r="D36" s="20"/>
      <c r="E36" s="12">
        <v>0</v>
      </c>
      <c r="F36" s="40">
        <f t="shared" ref="F36:F48" si="2">C36*E36</f>
        <v>0</v>
      </c>
      <c r="G36" s="45">
        <v>1</v>
      </c>
      <c r="H36" s="12">
        <v>0</v>
      </c>
      <c r="I36" s="264">
        <f>G36*H36</f>
        <v>0</v>
      </c>
      <c r="J36" s="252"/>
      <c r="K36" s="252"/>
      <c r="L36" s="252"/>
      <c r="M36" s="252"/>
      <c r="N36" s="252"/>
      <c r="O36" s="252"/>
    </row>
    <row r="37" spans="1:26" ht="21.75" customHeight="1">
      <c r="A37" s="489"/>
      <c r="B37" s="488"/>
      <c r="C37" s="39"/>
      <c r="D37" s="20"/>
      <c r="E37" s="12"/>
      <c r="F37" s="40">
        <f t="shared" si="2"/>
        <v>0</v>
      </c>
      <c r="G37" s="45"/>
      <c r="H37" s="12"/>
      <c r="I37" s="206">
        <f t="shared" ref="I37:I48" si="3">G37*H37</f>
        <v>0</v>
      </c>
      <c r="J37" s="252"/>
      <c r="K37" s="252"/>
      <c r="L37" s="252"/>
      <c r="M37" s="252"/>
      <c r="N37" s="252"/>
      <c r="O37" s="252"/>
    </row>
    <row r="38" spans="1:26" ht="21.75" customHeight="1">
      <c r="A38" s="489"/>
      <c r="B38" s="488"/>
      <c r="C38" s="39"/>
      <c r="D38" s="20"/>
      <c r="E38" s="12"/>
      <c r="F38" s="40">
        <f t="shared" si="2"/>
        <v>0</v>
      </c>
      <c r="G38" s="45"/>
      <c r="H38" s="12"/>
      <c r="I38" s="206">
        <f t="shared" si="3"/>
        <v>0</v>
      </c>
      <c r="J38" s="252"/>
      <c r="K38" s="252"/>
      <c r="L38" s="252"/>
      <c r="M38" s="252"/>
      <c r="N38" s="252"/>
      <c r="O38" s="252"/>
    </row>
    <row r="39" spans="1:26" ht="21.75" customHeight="1">
      <c r="A39" s="489"/>
      <c r="B39" s="488"/>
      <c r="C39" s="39"/>
      <c r="D39" s="20"/>
      <c r="E39" s="12"/>
      <c r="F39" s="40">
        <f t="shared" si="2"/>
        <v>0</v>
      </c>
      <c r="G39" s="45"/>
      <c r="H39" s="12"/>
      <c r="I39" s="206">
        <f t="shared" si="3"/>
        <v>0</v>
      </c>
      <c r="J39" s="252"/>
      <c r="K39" s="252"/>
      <c r="L39" s="252"/>
      <c r="M39" s="252"/>
      <c r="N39" s="252"/>
      <c r="O39" s="252"/>
    </row>
    <row r="40" spans="1:26" ht="21.75" customHeight="1">
      <c r="A40" s="489"/>
      <c r="B40" s="488"/>
      <c r="C40" s="39"/>
      <c r="D40" s="20"/>
      <c r="E40" s="12"/>
      <c r="F40" s="40">
        <f t="shared" si="2"/>
        <v>0</v>
      </c>
      <c r="G40" s="45"/>
      <c r="H40" s="12"/>
      <c r="I40" s="206">
        <f t="shared" si="3"/>
        <v>0</v>
      </c>
      <c r="J40" s="252"/>
      <c r="K40" s="252"/>
      <c r="L40" s="252"/>
      <c r="M40" s="252"/>
      <c r="N40" s="252"/>
      <c r="O40" s="252"/>
    </row>
    <row r="41" spans="1:26" ht="21.75" customHeight="1">
      <c r="A41" s="489"/>
      <c r="B41" s="488"/>
      <c r="C41" s="39"/>
      <c r="D41" s="20"/>
      <c r="E41" s="12"/>
      <c r="F41" s="40">
        <f t="shared" si="2"/>
        <v>0</v>
      </c>
      <c r="G41" s="45"/>
      <c r="H41" s="12"/>
      <c r="I41" s="206">
        <f t="shared" si="3"/>
        <v>0</v>
      </c>
      <c r="J41" s="252"/>
      <c r="K41" s="252"/>
      <c r="L41" s="252"/>
      <c r="M41" s="252"/>
      <c r="N41" s="252"/>
      <c r="O41" s="252"/>
    </row>
    <row r="42" spans="1:26" ht="21.75" customHeight="1">
      <c r="A42" s="489"/>
      <c r="B42" s="488"/>
      <c r="C42" s="39"/>
      <c r="D42" s="20"/>
      <c r="E42" s="12"/>
      <c r="F42" s="40">
        <f t="shared" si="2"/>
        <v>0</v>
      </c>
      <c r="G42" s="45"/>
      <c r="H42" s="12"/>
      <c r="I42" s="206">
        <f t="shared" si="3"/>
        <v>0</v>
      </c>
      <c r="J42" s="252"/>
      <c r="K42" s="252"/>
      <c r="L42" s="252"/>
      <c r="M42" s="252"/>
      <c r="N42" s="252"/>
      <c r="O42" s="252"/>
    </row>
    <row r="43" spans="1:26" ht="21.75" customHeight="1">
      <c r="A43" s="489"/>
      <c r="B43" s="488"/>
      <c r="C43" s="39"/>
      <c r="D43" s="20"/>
      <c r="E43" s="12"/>
      <c r="F43" s="40">
        <f t="shared" si="2"/>
        <v>0</v>
      </c>
      <c r="G43" s="45"/>
      <c r="H43" s="12"/>
      <c r="I43" s="206">
        <f t="shared" si="3"/>
        <v>0</v>
      </c>
      <c r="J43" s="252"/>
      <c r="K43" s="252"/>
      <c r="L43" s="252"/>
      <c r="M43" s="252"/>
      <c r="N43" s="252"/>
      <c r="O43" s="252"/>
    </row>
    <row r="44" spans="1:26" ht="21.75" customHeight="1">
      <c r="A44" s="489"/>
      <c r="B44" s="488"/>
      <c r="C44" s="39"/>
      <c r="D44" s="20"/>
      <c r="E44" s="12"/>
      <c r="F44" s="40">
        <f t="shared" si="2"/>
        <v>0</v>
      </c>
      <c r="G44" s="45"/>
      <c r="H44" s="12"/>
      <c r="I44" s="206">
        <f t="shared" si="3"/>
        <v>0</v>
      </c>
      <c r="J44" s="252"/>
      <c r="K44" s="252"/>
      <c r="L44" s="252"/>
      <c r="M44" s="252"/>
      <c r="N44" s="252"/>
      <c r="O44" s="252"/>
    </row>
    <row r="45" spans="1:26" ht="21.75" customHeight="1">
      <c r="A45" s="489"/>
      <c r="B45" s="488"/>
      <c r="C45" s="39"/>
      <c r="D45" s="20"/>
      <c r="E45" s="12"/>
      <c r="F45" s="40">
        <f t="shared" si="2"/>
        <v>0</v>
      </c>
      <c r="G45" s="45"/>
      <c r="H45" s="12"/>
      <c r="I45" s="206">
        <f t="shared" si="3"/>
        <v>0</v>
      </c>
      <c r="J45" s="252"/>
      <c r="K45" s="252"/>
      <c r="L45" s="252"/>
      <c r="M45" s="252"/>
      <c r="N45" s="252"/>
      <c r="O45" s="252"/>
    </row>
    <row r="46" spans="1:26" ht="21.75" customHeight="1">
      <c r="A46" s="489"/>
      <c r="B46" s="488"/>
      <c r="C46" s="39"/>
      <c r="D46" s="20"/>
      <c r="E46" s="12"/>
      <c r="F46" s="40">
        <f t="shared" si="2"/>
        <v>0</v>
      </c>
      <c r="G46" s="45"/>
      <c r="H46" s="12"/>
      <c r="I46" s="206">
        <f t="shared" si="3"/>
        <v>0</v>
      </c>
      <c r="J46" s="252"/>
      <c r="K46" s="252"/>
      <c r="L46" s="252"/>
      <c r="M46" s="252"/>
      <c r="N46" s="252"/>
      <c r="O46" s="252"/>
    </row>
    <row r="47" spans="1:26" ht="21.75" customHeight="1">
      <c r="A47" s="489"/>
      <c r="B47" s="488"/>
      <c r="C47" s="39"/>
      <c r="D47" s="20"/>
      <c r="E47" s="12"/>
      <c r="F47" s="40">
        <f t="shared" si="2"/>
        <v>0</v>
      </c>
      <c r="G47" s="45"/>
      <c r="H47" s="12"/>
      <c r="I47" s="206">
        <f t="shared" si="3"/>
        <v>0</v>
      </c>
      <c r="J47" s="252"/>
      <c r="K47" s="252"/>
      <c r="L47" s="252"/>
      <c r="M47" s="252"/>
      <c r="N47" s="252"/>
      <c r="O47" s="252"/>
    </row>
    <row r="48" spans="1:26" ht="21.75" customHeight="1">
      <c r="A48" s="489"/>
      <c r="B48" s="488"/>
      <c r="C48" s="39"/>
      <c r="D48" s="20"/>
      <c r="E48" s="12"/>
      <c r="F48" s="40">
        <f t="shared" si="2"/>
        <v>0</v>
      </c>
      <c r="G48" s="45"/>
      <c r="H48" s="12"/>
      <c r="I48" s="206">
        <f t="shared" si="3"/>
        <v>0</v>
      </c>
      <c r="J48" s="252"/>
      <c r="K48" s="252"/>
      <c r="L48" s="252"/>
      <c r="M48" s="252"/>
      <c r="N48" s="252"/>
      <c r="O48" s="252"/>
    </row>
    <row r="49" spans="1:15" ht="15.75" customHeight="1" thickBot="1">
      <c r="A49" s="46"/>
      <c r="B49" s="47"/>
      <c r="C49" s="473" t="s">
        <v>122</v>
      </c>
      <c r="D49" s="474"/>
      <c r="E49" s="475"/>
      <c r="F49" s="266">
        <f>SUM(F36:F48)</f>
        <v>0</v>
      </c>
      <c r="G49" s="473" t="s">
        <v>123</v>
      </c>
      <c r="H49" s="475"/>
      <c r="I49" s="266">
        <f>SUM(I36:I48)</f>
        <v>0</v>
      </c>
      <c r="J49" s="252"/>
      <c r="K49" s="252"/>
      <c r="L49" s="252"/>
      <c r="M49" s="252"/>
      <c r="N49" s="252"/>
      <c r="O49" s="252"/>
    </row>
    <row r="50" spans="1:15" ht="20.149999999999999" customHeight="1" thickBot="1">
      <c r="A50" s="469" t="s">
        <v>124</v>
      </c>
      <c r="B50" s="470"/>
      <c r="C50" s="470"/>
      <c r="D50" s="470"/>
      <c r="E50" s="470"/>
      <c r="F50" s="470"/>
      <c r="G50" s="470"/>
      <c r="H50" s="470"/>
      <c r="I50" s="267">
        <f>SUM(I49,F49)</f>
        <v>0</v>
      </c>
      <c r="J50" s="252"/>
      <c r="K50" s="252"/>
      <c r="L50" s="252"/>
      <c r="M50" s="252"/>
      <c r="N50" s="252"/>
      <c r="O50" s="252"/>
    </row>
    <row r="51" spans="1:15" ht="15.75" customHeight="1">
      <c r="A51" s="252"/>
      <c r="B51" s="252"/>
      <c r="C51" s="252"/>
      <c r="D51" s="252"/>
      <c r="E51" s="257"/>
      <c r="F51" s="252"/>
      <c r="G51" s="252"/>
      <c r="H51" s="252"/>
      <c r="I51" s="252"/>
      <c r="J51" s="252"/>
      <c r="K51" s="252"/>
      <c r="L51" s="252"/>
      <c r="M51" s="252"/>
      <c r="N51" s="252"/>
      <c r="O51" s="252"/>
    </row>
    <row r="52" spans="1:15" ht="15.75" customHeight="1">
      <c r="A52" s="252"/>
      <c r="B52" s="252"/>
      <c r="C52" s="252"/>
      <c r="D52" s="252"/>
      <c r="E52" s="257"/>
      <c r="F52" s="252"/>
      <c r="G52" s="252"/>
      <c r="H52" s="252"/>
      <c r="I52" s="252"/>
      <c r="J52" s="252"/>
      <c r="K52" s="252"/>
      <c r="L52" s="252"/>
      <c r="M52" s="252"/>
      <c r="N52" s="252"/>
      <c r="O52" s="252"/>
    </row>
    <row r="53" spans="1:15" ht="15.75" customHeight="1">
      <c r="A53" s="252"/>
      <c r="B53" s="252"/>
      <c r="C53" s="252"/>
      <c r="D53" s="252"/>
      <c r="E53" s="257"/>
      <c r="F53" s="252"/>
      <c r="G53" s="252"/>
      <c r="H53" s="252"/>
      <c r="I53" s="252"/>
      <c r="J53" s="252"/>
      <c r="K53" s="252"/>
      <c r="L53" s="252"/>
      <c r="M53" s="252"/>
      <c r="N53" s="252"/>
      <c r="O53" s="252"/>
    </row>
    <row r="54" spans="1:15" ht="15.75" customHeight="1">
      <c r="A54" s="252"/>
      <c r="B54" s="252"/>
      <c r="C54" s="252"/>
      <c r="D54" s="252"/>
      <c r="E54" s="257"/>
      <c r="F54" s="252"/>
      <c r="G54" s="252"/>
      <c r="H54" s="252"/>
      <c r="I54" s="252"/>
      <c r="J54" s="252"/>
      <c r="K54" s="252"/>
      <c r="L54" s="252"/>
      <c r="M54" s="252"/>
      <c r="N54" s="252"/>
      <c r="O54" s="252"/>
    </row>
    <row r="55" spans="1:15" ht="15.75" customHeight="1">
      <c r="A55" s="252"/>
      <c r="B55" s="252"/>
      <c r="C55" s="252"/>
      <c r="D55" s="252"/>
      <c r="E55" s="257"/>
      <c r="F55" s="252"/>
      <c r="G55" s="252"/>
      <c r="H55" s="252"/>
      <c r="I55" s="252"/>
      <c r="J55" s="252"/>
      <c r="K55" s="252"/>
      <c r="L55" s="252"/>
      <c r="M55" s="252"/>
      <c r="N55" s="252"/>
      <c r="O55" s="252"/>
    </row>
    <row r="56" spans="1:15" ht="15.75" customHeight="1">
      <c r="A56" s="252"/>
      <c r="B56" s="252"/>
      <c r="C56" s="252"/>
      <c r="D56" s="252"/>
      <c r="E56" s="257"/>
      <c r="F56" s="252"/>
      <c r="G56" s="252"/>
      <c r="H56" s="252"/>
      <c r="I56" s="252"/>
      <c r="J56" s="252"/>
      <c r="K56" s="252"/>
      <c r="L56" s="252"/>
      <c r="M56" s="252"/>
      <c r="N56" s="252"/>
      <c r="O56" s="252"/>
    </row>
    <row r="57" spans="1:15" ht="15.75" customHeight="1">
      <c r="A57" s="252"/>
      <c r="B57" s="252"/>
      <c r="C57" s="252"/>
      <c r="D57" s="252"/>
      <c r="E57" s="257"/>
      <c r="F57" s="252"/>
      <c r="G57" s="252"/>
      <c r="H57" s="252"/>
      <c r="I57" s="252"/>
      <c r="J57" s="252"/>
      <c r="K57" s="252"/>
      <c r="L57" s="252"/>
      <c r="M57" s="252"/>
      <c r="N57" s="252"/>
      <c r="O57" s="252"/>
    </row>
    <row r="58" spans="1:15" ht="15.75" customHeight="1">
      <c r="A58" s="252"/>
      <c r="B58" s="252"/>
      <c r="C58" s="252"/>
      <c r="D58" s="252"/>
      <c r="E58" s="257"/>
      <c r="F58" s="252"/>
      <c r="G58" s="252"/>
      <c r="H58" s="252"/>
      <c r="I58" s="252"/>
      <c r="J58" s="252"/>
      <c r="K58" s="252"/>
      <c r="L58" s="252"/>
      <c r="M58" s="252"/>
      <c r="N58" s="252"/>
      <c r="O58" s="252"/>
    </row>
    <row r="59" spans="1:15" ht="15.75" customHeight="1">
      <c r="A59" s="252"/>
      <c r="B59" s="252"/>
      <c r="C59" s="252"/>
      <c r="D59" s="252"/>
      <c r="E59" s="257"/>
      <c r="F59" s="252"/>
      <c r="G59" s="252"/>
      <c r="H59" s="252"/>
      <c r="I59" s="252"/>
      <c r="J59" s="252"/>
      <c r="K59" s="252"/>
      <c r="L59" s="252"/>
      <c r="M59" s="252"/>
      <c r="N59" s="252"/>
      <c r="O59" s="252"/>
    </row>
    <row r="60" spans="1:15" ht="15.75" customHeight="1">
      <c r="A60" s="252"/>
      <c r="B60" s="252"/>
      <c r="C60" s="252"/>
      <c r="D60" s="252"/>
      <c r="E60" s="257"/>
      <c r="F60" s="252"/>
      <c r="G60" s="252"/>
      <c r="H60" s="252"/>
      <c r="I60" s="252"/>
      <c r="J60" s="252"/>
      <c r="K60" s="252"/>
      <c r="L60" s="252"/>
      <c r="M60" s="252"/>
      <c r="N60" s="252"/>
      <c r="O60" s="252"/>
    </row>
    <row r="61" spans="1:15" ht="15.75" customHeight="1">
      <c r="A61" s="252"/>
      <c r="B61" s="252"/>
      <c r="C61" s="252"/>
      <c r="D61" s="252"/>
      <c r="E61" s="257"/>
      <c r="F61" s="252"/>
      <c r="G61" s="252"/>
      <c r="H61" s="252"/>
      <c r="I61" s="252"/>
      <c r="J61" s="252"/>
      <c r="K61" s="252"/>
      <c r="L61" s="252"/>
      <c r="M61" s="252"/>
      <c r="N61" s="252"/>
      <c r="O61" s="252"/>
    </row>
    <row r="62" spans="1:15" ht="15.75" customHeight="1">
      <c r="A62" s="252"/>
      <c r="B62" s="252"/>
      <c r="C62" s="252"/>
      <c r="D62" s="252"/>
      <c r="E62" s="257"/>
      <c r="F62" s="252"/>
      <c r="G62" s="252"/>
      <c r="H62" s="252"/>
      <c r="I62" s="252"/>
      <c r="J62" s="252"/>
      <c r="K62" s="252"/>
      <c r="L62" s="252"/>
      <c r="M62" s="252"/>
      <c r="N62" s="252"/>
      <c r="O62" s="252"/>
    </row>
    <row r="63" spans="1:15" ht="15.75" customHeight="1">
      <c r="A63" s="252"/>
      <c r="B63" s="252"/>
      <c r="C63" s="252"/>
      <c r="D63" s="252"/>
      <c r="E63" s="257"/>
      <c r="F63" s="252"/>
      <c r="G63" s="252"/>
      <c r="H63" s="252"/>
      <c r="I63" s="252"/>
      <c r="J63" s="252"/>
      <c r="K63" s="252"/>
      <c r="L63" s="252"/>
      <c r="M63" s="252"/>
      <c r="N63" s="252"/>
      <c r="O63" s="252"/>
    </row>
    <row r="64" spans="1:15" ht="15.75" customHeight="1">
      <c r="A64" s="252"/>
      <c r="B64" s="252"/>
      <c r="C64" s="252"/>
      <c r="D64" s="252"/>
      <c r="E64" s="257"/>
      <c r="F64" s="252"/>
      <c r="G64" s="252"/>
      <c r="H64" s="252"/>
      <c r="I64" s="252"/>
      <c r="J64" s="252"/>
      <c r="K64" s="252"/>
      <c r="L64" s="252"/>
      <c r="M64" s="252"/>
      <c r="N64" s="252"/>
      <c r="O64" s="252"/>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row r="1004" spans="5:5" ht="15.75" customHeight="1">
      <c r="E1004" s="9"/>
    </row>
    <row r="1005" spans="5:5" ht="15.75" customHeight="1">
      <c r="E1005" s="9"/>
    </row>
    <row r="1006" spans="5:5" ht="15.75" customHeight="1">
      <c r="E1006" s="9"/>
    </row>
    <row r="1007" spans="5:5" ht="15.75" customHeight="1">
      <c r="E1007" s="9"/>
    </row>
    <row r="1008" spans="5:5" ht="15.75" customHeight="1">
      <c r="E1008" s="9"/>
    </row>
    <row r="1009" spans="5:5" ht="15.75" customHeight="1">
      <c r="E1009" s="9"/>
    </row>
    <row r="1010" spans="5:5" ht="15.75" customHeight="1">
      <c r="E1010" s="9"/>
    </row>
    <row r="1011" spans="5:5" ht="15.75" customHeight="1">
      <c r="E1011" s="9"/>
    </row>
    <row r="1012" spans="5:5" ht="15.75" customHeight="1">
      <c r="E1012" s="9"/>
    </row>
    <row r="1013" spans="5:5" ht="15.75" customHeight="1">
      <c r="E1013" s="9"/>
    </row>
    <row r="1014" spans="5:5" ht="15.75" customHeight="1">
      <c r="E1014" s="9"/>
    </row>
    <row r="1015" spans="5:5" ht="15.75" customHeight="1">
      <c r="E1015" s="9"/>
    </row>
  </sheetData>
  <mergeCells count="53">
    <mergeCell ref="A6:B6"/>
    <mergeCell ref="A1:F2"/>
    <mergeCell ref="A3:I3"/>
    <mergeCell ref="A4:B5"/>
    <mergeCell ref="C4:F4"/>
    <mergeCell ref="G4:I4"/>
    <mergeCell ref="A18:B18"/>
    <mergeCell ref="A7:B7"/>
    <mergeCell ref="A8:B8"/>
    <mergeCell ref="A9:B9"/>
    <mergeCell ref="A10:B10"/>
    <mergeCell ref="A11:B11"/>
    <mergeCell ref="A12:B12"/>
    <mergeCell ref="A13:B13"/>
    <mergeCell ref="A14:B14"/>
    <mergeCell ref="A15:B15"/>
    <mergeCell ref="A16:B16"/>
    <mergeCell ref="A17:B17"/>
    <mergeCell ref="A30:B30"/>
    <mergeCell ref="A19:B19"/>
    <mergeCell ref="A20:B20"/>
    <mergeCell ref="A21:B21"/>
    <mergeCell ref="A22:B22"/>
    <mergeCell ref="A23:B23"/>
    <mergeCell ref="A24:B24"/>
    <mergeCell ref="A25:B25"/>
    <mergeCell ref="A26:B26"/>
    <mergeCell ref="A27:B27"/>
    <mergeCell ref="A28:B28"/>
    <mergeCell ref="A29:B29"/>
    <mergeCell ref="A41:B41"/>
    <mergeCell ref="C31:E31"/>
    <mergeCell ref="G31:H31"/>
    <mergeCell ref="A32:H32"/>
    <mergeCell ref="A33:I33"/>
    <mergeCell ref="A34:B35"/>
    <mergeCell ref="C34:F34"/>
    <mergeCell ref="G34:I34"/>
    <mergeCell ref="A36:B36"/>
    <mergeCell ref="A37:B37"/>
    <mergeCell ref="A38:B38"/>
    <mergeCell ref="A39:B39"/>
    <mergeCell ref="A40:B40"/>
    <mergeCell ref="A48:B48"/>
    <mergeCell ref="C49:E49"/>
    <mergeCell ref="G49:H49"/>
    <mergeCell ref="A50:H50"/>
    <mergeCell ref="A42:B42"/>
    <mergeCell ref="A43:B43"/>
    <mergeCell ref="A44:B44"/>
    <mergeCell ref="A45:B45"/>
    <mergeCell ref="A46:B46"/>
    <mergeCell ref="A47:B47"/>
  </mergeCells>
  <conditionalFormatting sqref="G2:H2">
    <cfRule type="expression" dxfId="5" priority="1" stopIfTrue="1">
      <formula>"MM/DD/YY"</formula>
    </cfRule>
  </conditionalFormatting>
  <printOptions horizontalCentered="1"/>
  <pageMargins left="0.75" right="0.75" top="1" bottom="1" header="0" footer="0"/>
  <pageSetup scale="74" fitToHeight="0" orientation="portrait" r:id="rId1"/>
  <rowBreaks count="1" manualBreakCount="1">
    <brk id="32" max="16383" man="1"/>
  </rowBreaks>
  <drawing r:id="rId2"/>
  <legacyDrawing r:id="rId3"/>
  <controls>
    <mc:AlternateContent xmlns:mc="http://schemas.openxmlformats.org/markup-compatibility/2006">
      <mc:Choice Requires="x14">
        <control shapeId="24577" r:id="rId4" name="CommandButton1">
          <controlPr defaultSize="0" autoLine="0" altText="Add A Row Command Button" r:id="rId5">
            <anchor moveWithCells="1">
              <from>
                <xdr:col>9</xdr:col>
                <xdr:colOff>323850</xdr:colOff>
                <xdr:row>29</xdr:row>
                <xdr:rowOff>12700</xdr:rowOff>
              </from>
              <to>
                <xdr:col>11</xdr:col>
                <xdr:colOff>450850</xdr:colOff>
                <xdr:row>30</xdr:row>
                <xdr:rowOff>25400</xdr:rowOff>
              </to>
            </anchor>
          </controlPr>
        </control>
      </mc:Choice>
      <mc:Fallback>
        <control shapeId="24577" r:id="rId4" name="CommandButton1"/>
      </mc:Fallback>
    </mc:AlternateContent>
  </control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E30E3-F666-4A27-A1DA-119E2DC6CA3D}">
  <sheetPr codeName="Sheet24">
    <pageSetUpPr fitToPage="1"/>
  </sheetPr>
  <dimension ref="A1:Z1015"/>
  <sheetViews>
    <sheetView topLeftCell="C18" zoomScaleNormal="100" zoomScaleSheetLayoutView="9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204</v>
      </c>
      <c r="B1" s="387"/>
      <c r="C1" s="387"/>
      <c r="D1" s="387"/>
      <c r="E1" s="387"/>
      <c r="F1" s="387"/>
      <c r="G1" s="258" t="s">
        <v>165</v>
      </c>
      <c r="H1" s="259"/>
      <c r="I1" s="162" t="s">
        <v>166</v>
      </c>
      <c r="J1" s="252"/>
      <c r="K1" s="252"/>
      <c r="L1" s="252"/>
      <c r="M1" s="252"/>
      <c r="N1" s="252"/>
      <c r="O1" s="252"/>
    </row>
    <row r="2" spans="1:26" ht="15" customHeight="1" thickBot="1">
      <c r="A2" s="388"/>
      <c r="B2" s="389"/>
      <c r="C2" s="389"/>
      <c r="D2" s="389"/>
      <c r="E2" s="389"/>
      <c r="F2" s="389"/>
      <c r="G2" s="163" t="str">
        <f>IF(INPUT!C3=0,"",INPUT!C3)</f>
        <v>RLP # 36C248-25-R-0110 – EXHIBIT K</v>
      </c>
      <c r="H2" s="163"/>
      <c r="I2" s="164" t="str">
        <f>IF(INPUT!C10=0,"",INPUT!C10)</f>
        <v/>
      </c>
      <c r="J2" s="252"/>
      <c r="K2" s="252"/>
      <c r="L2" s="252"/>
      <c r="M2" s="252"/>
      <c r="N2" s="252"/>
      <c r="O2" s="252"/>
    </row>
    <row r="3" spans="1:26" s="10" customFormat="1" ht="36" customHeight="1" thickBot="1">
      <c r="A3" s="480" t="s">
        <v>202</v>
      </c>
      <c r="B3" s="402"/>
      <c r="C3" s="402"/>
      <c r="D3" s="402"/>
      <c r="E3" s="402"/>
      <c r="F3" s="402"/>
      <c r="G3" s="402"/>
      <c r="H3" s="402"/>
      <c r="I3" s="403"/>
      <c r="J3" s="253"/>
      <c r="K3" s="253"/>
      <c r="L3" s="253"/>
      <c r="M3" s="253"/>
      <c r="N3" s="253"/>
      <c r="O3" s="253"/>
    </row>
    <row r="4" spans="1:26" ht="15.5">
      <c r="A4" s="498" t="s">
        <v>93</v>
      </c>
      <c r="B4" s="499"/>
      <c r="C4" s="390" t="s">
        <v>91</v>
      </c>
      <c r="D4" s="382"/>
      <c r="E4" s="382"/>
      <c r="F4" s="383"/>
      <c r="G4" s="381" t="s">
        <v>92</v>
      </c>
      <c r="H4" s="382"/>
      <c r="I4" s="383"/>
      <c r="J4" s="252"/>
      <c r="K4" s="252"/>
      <c r="L4" s="252"/>
      <c r="M4" s="252"/>
      <c r="N4" s="252"/>
      <c r="O4" s="252"/>
    </row>
    <row r="5" spans="1:26" ht="15.75" customHeight="1" thickBot="1">
      <c r="A5" s="454"/>
      <c r="B5" s="500"/>
      <c r="C5" s="37" t="s">
        <v>129</v>
      </c>
      <c r="D5" s="27" t="s">
        <v>95</v>
      </c>
      <c r="E5" s="28" t="s">
        <v>61</v>
      </c>
      <c r="F5" s="38" t="s">
        <v>79</v>
      </c>
      <c r="G5" s="44" t="s">
        <v>96</v>
      </c>
      <c r="H5" s="30" t="s">
        <v>85</v>
      </c>
      <c r="I5" s="31" t="s">
        <v>79</v>
      </c>
      <c r="J5" s="252"/>
      <c r="K5" s="252"/>
      <c r="L5" s="252"/>
      <c r="M5" s="252"/>
      <c r="N5" s="252"/>
      <c r="O5" s="252"/>
    </row>
    <row r="6" spans="1:26" ht="21.75" customHeight="1">
      <c r="A6" s="476" t="s">
        <v>149</v>
      </c>
      <c r="B6" s="497"/>
      <c r="C6" s="34">
        <v>1</v>
      </c>
      <c r="D6" s="19" t="s">
        <v>148</v>
      </c>
      <c r="E6" s="11">
        <v>0</v>
      </c>
      <c r="F6" s="260">
        <f t="shared" ref="F6:F30" si="0">C6*E6</f>
        <v>0</v>
      </c>
      <c r="G6" s="34">
        <v>1</v>
      </c>
      <c r="H6" s="17">
        <v>0</v>
      </c>
      <c r="I6" s="261">
        <f t="shared" ref="I6:I30" si="1">G6*H6</f>
        <v>0</v>
      </c>
      <c r="J6" s="254"/>
      <c r="K6" s="254"/>
      <c r="L6" s="254"/>
      <c r="M6" s="254"/>
      <c r="N6" s="254"/>
      <c r="O6" s="254"/>
      <c r="P6" s="6"/>
      <c r="Q6" s="6"/>
      <c r="R6" s="6"/>
      <c r="S6" s="6"/>
      <c r="T6" s="6"/>
      <c r="U6" s="6"/>
      <c r="V6" s="6"/>
      <c r="W6" s="6"/>
      <c r="X6" s="6"/>
      <c r="Y6" s="6"/>
      <c r="Z6" s="6"/>
    </row>
    <row r="7" spans="1:26" ht="21.75" customHeight="1">
      <c r="A7" s="487"/>
      <c r="B7" s="495"/>
      <c r="C7" s="34"/>
      <c r="D7" s="19"/>
      <c r="E7" s="11"/>
      <c r="F7" s="260">
        <f>C7*E7</f>
        <v>0</v>
      </c>
      <c r="G7" s="43"/>
      <c r="H7" s="18"/>
      <c r="I7" s="179">
        <f t="shared" si="1"/>
        <v>0</v>
      </c>
      <c r="J7" s="254"/>
      <c r="K7" s="254"/>
      <c r="L7" s="254"/>
      <c r="M7" s="254"/>
      <c r="N7" s="254"/>
      <c r="O7" s="254"/>
      <c r="P7" s="6"/>
      <c r="Q7" s="6"/>
      <c r="R7" s="6"/>
      <c r="S7" s="6"/>
      <c r="T7" s="6"/>
      <c r="U7" s="6"/>
      <c r="V7" s="6"/>
      <c r="W7" s="6"/>
      <c r="X7" s="6"/>
      <c r="Y7" s="6"/>
      <c r="Z7" s="6"/>
    </row>
    <row r="8" spans="1:26" ht="21.75" customHeight="1">
      <c r="A8" s="487"/>
      <c r="B8" s="495"/>
      <c r="C8" s="34"/>
      <c r="D8" s="19"/>
      <c r="E8" s="11"/>
      <c r="F8" s="262">
        <f t="shared" si="0"/>
        <v>0</v>
      </c>
      <c r="G8" s="43"/>
      <c r="H8" s="18"/>
      <c r="I8" s="179">
        <f t="shared" si="1"/>
        <v>0</v>
      </c>
      <c r="J8" s="254"/>
      <c r="K8" s="254"/>
      <c r="L8" s="254"/>
      <c r="M8" s="254"/>
      <c r="N8" s="254"/>
      <c r="O8" s="254"/>
      <c r="P8" s="6"/>
      <c r="Q8" s="6"/>
      <c r="R8" s="6"/>
      <c r="S8" s="6"/>
      <c r="T8" s="6"/>
      <c r="U8" s="6"/>
      <c r="V8" s="6"/>
      <c r="W8" s="6"/>
      <c r="X8" s="6"/>
      <c r="Y8" s="6"/>
      <c r="Z8" s="6"/>
    </row>
    <row r="9" spans="1:26" ht="21.75" customHeight="1">
      <c r="A9" s="487"/>
      <c r="B9" s="495"/>
      <c r="C9" s="34"/>
      <c r="D9" s="19"/>
      <c r="E9" s="11"/>
      <c r="F9" s="262">
        <f t="shared" si="0"/>
        <v>0</v>
      </c>
      <c r="G9" s="43"/>
      <c r="H9" s="18"/>
      <c r="I9" s="179">
        <f t="shared" si="1"/>
        <v>0</v>
      </c>
      <c r="J9" s="254"/>
      <c r="K9" s="254"/>
      <c r="L9" s="254"/>
      <c r="M9" s="254"/>
      <c r="N9" s="254"/>
      <c r="O9" s="254"/>
      <c r="P9" s="6"/>
      <c r="Q9" s="6"/>
      <c r="R9" s="6"/>
      <c r="S9" s="6"/>
      <c r="T9" s="6"/>
      <c r="U9" s="6"/>
      <c r="V9" s="6"/>
      <c r="W9" s="6"/>
      <c r="X9" s="6"/>
      <c r="Y9" s="6"/>
      <c r="Z9" s="6"/>
    </row>
    <row r="10" spans="1:26" ht="21.75" customHeight="1">
      <c r="A10" s="487"/>
      <c r="B10" s="495"/>
      <c r="C10" s="34"/>
      <c r="D10" s="19"/>
      <c r="E10" s="11"/>
      <c r="F10" s="260">
        <f t="shared" si="0"/>
        <v>0</v>
      </c>
      <c r="G10" s="43"/>
      <c r="H10" s="18"/>
      <c r="I10" s="179">
        <f t="shared" si="1"/>
        <v>0</v>
      </c>
      <c r="J10" s="254"/>
      <c r="K10" s="254"/>
      <c r="L10" s="254"/>
      <c r="M10" s="254"/>
      <c r="N10" s="254"/>
      <c r="O10" s="254"/>
      <c r="P10" s="6"/>
      <c r="Q10" s="6"/>
      <c r="R10" s="6"/>
      <c r="S10" s="6"/>
      <c r="T10" s="6"/>
      <c r="U10" s="6"/>
      <c r="V10" s="6"/>
      <c r="W10" s="6"/>
      <c r="X10" s="6"/>
      <c r="Y10" s="6"/>
      <c r="Z10" s="6"/>
    </row>
    <row r="11" spans="1:26" ht="21.75" customHeight="1">
      <c r="A11" s="490"/>
      <c r="B11" s="496"/>
      <c r="C11" s="34"/>
      <c r="D11" s="19"/>
      <c r="E11" s="11"/>
      <c r="F11" s="260">
        <f t="shared" si="0"/>
        <v>0</v>
      </c>
      <c r="G11" s="43"/>
      <c r="H11" s="18"/>
      <c r="I11" s="179">
        <f t="shared" si="1"/>
        <v>0</v>
      </c>
      <c r="J11" s="254"/>
      <c r="K11" s="254"/>
      <c r="L11" s="254"/>
      <c r="M11" s="254"/>
      <c r="N11" s="254"/>
      <c r="O11" s="254"/>
      <c r="P11" s="6"/>
      <c r="Q11" s="6"/>
      <c r="R11" s="6"/>
      <c r="S11" s="6"/>
      <c r="T11" s="6"/>
      <c r="U11" s="6"/>
      <c r="V11" s="6"/>
      <c r="W11" s="6"/>
      <c r="X11" s="6"/>
      <c r="Y11" s="6"/>
      <c r="Z11" s="6"/>
    </row>
    <row r="12" spans="1:26" ht="21.75" customHeight="1">
      <c r="A12" s="487"/>
      <c r="B12" s="495"/>
      <c r="C12" s="34"/>
      <c r="D12" s="19"/>
      <c r="E12" s="11"/>
      <c r="F12" s="260">
        <f t="shared" si="0"/>
        <v>0</v>
      </c>
      <c r="G12" s="43"/>
      <c r="H12" s="18"/>
      <c r="I12" s="179">
        <f t="shared" si="1"/>
        <v>0</v>
      </c>
      <c r="J12" s="254"/>
      <c r="K12" s="254"/>
      <c r="L12" s="254"/>
      <c r="M12" s="254"/>
      <c r="N12" s="254"/>
      <c r="O12" s="254"/>
      <c r="P12" s="6"/>
      <c r="Q12" s="6"/>
      <c r="R12" s="6"/>
      <c r="S12" s="6"/>
      <c r="T12" s="6"/>
      <c r="U12" s="6"/>
      <c r="V12" s="6"/>
      <c r="W12" s="6"/>
      <c r="X12" s="6"/>
      <c r="Y12" s="6"/>
      <c r="Z12" s="6"/>
    </row>
    <row r="13" spans="1:26" ht="21.75" customHeight="1">
      <c r="A13" s="490"/>
      <c r="B13" s="496"/>
      <c r="C13" s="34"/>
      <c r="D13" s="19"/>
      <c r="E13" s="11"/>
      <c r="F13" s="260">
        <f t="shared" si="0"/>
        <v>0</v>
      </c>
      <c r="G13" s="43"/>
      <c r="H13" s="18"/>
      <c r="I13" s="179">
        <f t="shared" si="1"/>
        <v>0</v>
      </c>
      <c r="J13" s="254"/>
      <c r="K13" s="254"/>
      <c r="L13" s="254"/>
      <c r="M13" s="254"/>
      <c r="N13" s="254"/>
      <c r="O13" s="254"/>
      <c r="P13" s="6"/>
      <c r="Q13" s="6"/>
      <c r="R13" s="6"/>
      <c r="S13" s="6"/>
      <c r="T13" s="6"/>
      <c r="U13" s="6"/>
      <c r="V13" s="6"/>
      <c r="W13" s="6"/>
      <c r="X13" s="6"/>
      <c r="Y13" s="6"/>
      <c r="Z13" s="6"/>
    </row>
    <row r="14" spans="1:26" ht="21.75" customHeight="1">
      <c r="A14" s="490"/>
      <c r="B14" s="496"/>
      <c r="C14" s="34"/>
      <c r="D14" s="19"/>
      <c r="E14" s="11"/>
      <c r="F14" s="260">
        <f t="shared" si="0"/>
        <v>0</v>
      </c>
      <c r="G14" s="43"/>
      <c r="H14" s="18"/>
      <c r="I14" s="179">
        <f t="shared" si="1"/>
        <v>0</v>
      </c>
      <c r="J14" s="254"/>
      <c r="K14" s="254"/>
      <c r="L14" s="254"/>
      <c r="M14" s="254"/>
      <c r="N14" s="254"/>
      <c r="O14" s="254"/>
      <c r="P14" s="6"/>
      <c r="Q14" s="6"/>
      <c r="R14" s="6"/>
      <c r="S14" s="6"/>
      <c r="T14" s="6"/>
      <c r="U14" s="6"/>
      <c r="V14" s="6"/>
      <c r="W14" s="6"/>
      <c r="X14" s="6"/>
      <c r="Y14" s="6"/>
      <c r="Z14" s="6"/>
    </row>
    <row r="15" spans="1:26" ht="21.75" customHeight="1">
      <c r="A15" s="490"/>
      <c r="B15" s="496"/>
      <c r="C15" s="34"/>
      <c r="D15" s="19"/>
      <c r="E15" s="11"/>
      <c r="F15" s="260">
        <f t="shared" si="0"/>
        <v>0</v>
      </c>
      <c r="G15" s="43"/>
      <c r="H15" s="18"/>
      <c r="I15" s="179">
        <f t="shared" si="1"/>
        <v>0</v>
      </c>
      <c r="J15" s="254"/>
      <c r="K15" s="254"/>
      <c r="L15" s="254"/>
      <c r="M15" s="254"/>
      <c r="N15" s="254"/>
      <c r="O15" s="254"/>
      <c r="P15" s="6"/>
      <c r="Q15" s="6"/>
      <c r="R15" s="6"/>
      <c r="S15" s="6"/>
      <c r="T15" s="6"/>
      <c r="U15" s="6"/>
      <c r="V15" s="6"/>
      <c r="W15" s="6"/>
      <c r="X15" s="6"/>
      <c r="Y15" s="6"/>
      <c r="Z15" s="6"/>
    </row>
    <row r="16" spans="1:26" ht="21.75" customHeight="1">
      <c r="A16" s="490"/>
      <c r="B16" s="496"/>
      <c r="C16" s="34"/>
      <c r="D16" s="19"/>
      <c r="E16" s="11"/>
      <c r="F16" s="260">
        <f t="shared" si="0"/>
        <v>0</v>
      </c>
      <c r="G16" s="43"/>
      <c r="H16" s="18"/>
      <c r="I16" s="179">
        <f t="shared" si="1"/>
        <v>0</v>
      </c>
      <c r="J16" s="254"/>
      <c r="K16" s="254"/>
      <c r="L16" s="254"/>
      <c r="M16" s="254"/>
      <c r="N16" s="254"/>
      <c r="O16" s="254"/>
      <c r="P16" s="6"/>
      <c r="Q16" s="6"/>
      <c r="R16" s="6"/>
      <c r="S16" s="6"/>
      <c r="T16" s="6"/>
      <c r="U16" s="6"/>
      <c r="V16" s="6"/>
      <c r="W16" s="6"/>
      <c r="X16" s="6"/>
      <c r="Y16" s="6"/>
      <c r="Z16" s="6"/>
    </row>
    <row r="17" spans="1:26" ht="21.75" customHeight="1">
      <c r="A17" s="490"/>
      <c r="B17" s="496"/>
      <c r="C17" s="34"/>
      <c r="D17" s="19"/>
      <c r="E17" s="11"/>
      <c r="F17" s="260">
        <f t="shared" si="0"/>
        <v>0</v>
      </c>
      <c r="G17" s="43"/>
      <c r="H17" s="18"/>
      <c r="I17" s="179">
        <f t="shared" si="1"/>
        <v>0</v>
      </c>
      <c r="J17" s="254"/>
      <c r="K17" s="254"/>
      <c r="L17" s="254"/>
      <c r="M17" s="254"/>
      <c r="N17" s="254"/>
      <c r="O17" s="254"/>
      <c r="P17" s="6"/>
      <c r="Q17" s="6"/>
      <c r="R17" s="6"/>
      <c r="S17" s="6"/>
      <c r="T17" s="6"/>
      <c r="U17" s="6"/>
      <c r="V17" s="6"/>
      <c r="W17" s="6"/>
      <c r="X17" s="6"/>
      <c r="Y17" s="6"/>
      <c r="Z17" s="6"/>
    </row>
    <row r="18" spans="1:26" ht="21.75" customHeight="1">
      <c r="A18" s="490"/>
      <c r="B18" s="496"/>
      <c r="C18" s="34"/>
      <c r="D18" s="19"/>
      <c r="E18" s="11"/>
      <c r="F18" s="260">
        <f t="shared" si="0"/>
        <v>0</v>
      </c>
      <c r="G18" s="43"/>
      <c r="H18" s="18"/>
      <c r="I18" s="179">
        <f t="shared" si="1"/>
        <v>0</v>
      </c>
      <c r="J18" s="254"/>
      <c r="K18" s="254"/>
      <c r="L18" s="254"/>
      <c r="M18" s="254"/>
      <c r="N18" s="254"/>
      <c r="O18" s="254"/>
      <c r="P18" s="6"/>
      <c r="Q18" s="6"/>
      <c r="R18" s="6"/>
      <c r="S18" s="6"/>
      <c r="T18" s="6"/>
      <c r="U18" s="6"/>
      <c r="V18" s="6"/>
      <c r="W18" s="6"/>
      <c r="X18" s="6"/>
      <c r="Y18" s="6"/>
      <c r="Z18" s="6"/>
    </row>
    <row r="19" spans="1:26" ht="21.75" customHeight="1">
      <c r="A19" s="490"/>
      <c r="B19" s="496"/>
      <c r="C19" s="34"/>
      <c r="D19" s="19"/>
      <c r="E19" s="11"/>
      <c r="F19" s="260">
        <f t="shared" si="0"/>
        <v>0</v>
      </c>
      <c r="G19" s="43"/>
      <c r="H19" s="18"/>
      <c r="I19" s="179">
        <f t="shared" si="1"/>
        <v>0</v>
      </c>
      <c r="J19" s="254"/>
      <c r="K19" s="254"/>
      <c r="L19" s="254"/>
      <c r="M19" s="254"/>
      <c r="N19" s="254"/>
      <c r="O19" s="254"/>
      <c r="P19" s="6"/>
      <c r="Q19" s="6"/>
      <c r="R19" s="6"/>
      <c r="S19" s="6"/>
      <c r="T19" s="6"/>
      <c r="U19" s="6"/>
      <c r="V19" s="6"/>
      <c r="W19" s="6"/>
      <c r="X19" s="6"/>
      <c r="Y19" s="6"/>
      <c r="Z19" s="6"/>
    </row>
    <row r="20" spans="1:26" ht="21.75" customHeight="1">
      <c r="A20" s="490"/>
      <c r="B20" s="496"/>
      <c r="C20" s="34"/>
      <c r="D20" s="19"/>
      <c r="E20" s="11"/>
      <c r="F20" s="260">
        <f t="shared" si="0"/>
        <v>0</v>
      </c>
      <c r="G20" s="43"/>
      <c r="H20" s="18"/>
      <c r="I20" s="179">
        <f t="shared" si="1"/>
        <v>0</v>
      </c>
      <c r="J20" s="254"/>
      <c r="K20" s="254"/>
      <c r="L20" s="254"/>
      <c r="M20" s="254"/>
      <c r="N20" s="254"/>
      <c r="O20" s="254"/>
      <c r="P20" s="6"/>
      <c r="Q20" s="6"/>
      <c r="R20" s="6"/>
      <c r="S20" s="6"/>
      <c r="T20" s="6"/>
      <c r="U20" s="6"/>
      <c r="V20" s="6"/>
      <c r="W20" s="6"/>
      <c r="X20" s="6"/>
      <c r="Y20" s="6"/>
      <c r="Z20" s="6"/>
    </row>
    <row r="21" spans="1:26" ht="21.75" customHeight="1">
      <c r="A21" s="490"/>
      <c r="B21" s="496"/>
      <c r="C21" s="34"/>
      <c r="D21" s="19"/>
      <c r="E21" s="11"/>
      <c r="F21" s="260">
        <f t="shared" si="0"/>
        <v>0</v>
      </c>
      <c r="G21" s="43"/>
      <c r="H21" s="18"/>
      <c r="I21" s="179">
        <f t="shared" si="1"/>
        <v>0</v>
      </c>
      <c r="J21" s="254"/>
      <c r="K21" s="254"/>
      <c r="L21" s="254"/>
      <c r="M21" s="254"/>
      <c r="N21" s="254"/>
      <c r="O21" s="254"/>
      <c r="P21" s="6"/>
      <c r="Q21" s="6"/>
      <c r="R21" s="6"/>
      <c r="S21" s="6"/>
      <c r="T21" s="6"/>
      <c r="U21" s="6"/>
      <c r="V21" s="6"/>
      <c r="W21" s="6"/>
      <c r="X21" s="6"/>
      <c r="Y21" s="6"/>
      <c r="Z21" s="6"/>
    </row>
    <row r="22" spans="1:26" ht="21.75" customHeight="1">
      <c r="A22" s="490"/>
      <c r="B22" s="496"/>
      <c r="C22" s="34"/>
      <c r="D22" s="19"/>
      <c r="E22" s="11"/>
      <c r="F22" s="260">
        <f t="shared" si="0"/>
        <v>0</v>
      </c>
      <c r="G22" s="43"/>
      <c r="H22" s="18"/>
      <c r="I22" s="179">
        <f t="shared" si="1"/>
        <v>0</v>
      </c>
      <c r="J22" s="254"/>
      <c r="K22" s="254"/>
      <c r="L22" s="254"/>
      <c r="M22" s="254"/>
      <c r="N22" s="254"/>
      <c r="O22" s="254"/>
      <c r="P22" s="6"/>
      <c r="Q22" s="6"/>
      <c r="R22" s="6"/>
      <c r="S22" s="6"/>
      <c r="T22" s="6"/>
      <c r="U22" s="6"/>
      <c r="V22" s="6"/>
      <c r="W22" s="6"/>
      <c r="X22" s="6"/>
      <c r="Y22" s="6"/>
      <c r="Z22" s="6"/>
    </row>
    <row r="23" spans="1:26" ht="21.75" customHeight="1">
      <c r="A23" s="490"/>
      <c r="B23" s="496"/>
      <c r="C23" s="34"/>
      <c r="D23" s="19"/>
      <c r="E23" s="11"/>
      <c r="F23" s="260">
        <f t="shared" si="0"/>
        <v>0</v>
      </c>
      <c r="G23" s="43"/>
      <c r="H23" s="18"/>
      <c r="I23" s="179">
        <f t="shared" si="1"/>
        <v>0</v>
      </c>
      <c r="J23" s="254"/>
      <c r="K23" s="254"/>
      <c r="L23" s="254"/>
      <c r="M23" s="254"/>
      <c r="N23" s="254"/>
      <c r="O23" s="254"/>
      <c r="P23" s="6"/>
      <c r="Q23" s="6"/>
      <c r="R23" s="6"/>
      <c r="S23" s="6"/>
      <c r="T23" s="6"/>
      <c r="U23" s="6"/>
      <c r="V23" s="6"/>
      <c r="W23" s="6"/>
      <c r="X23" s="6"/>
      <c r="Y23" s="6"/>
      <c r="Z23" s="6"/>
    </row>
    <row r="24" spans="1:26" ht="21.75" customHeight="1">
      <c r="A24" s="487"/>
      <c r="B24" s="495"/>
      <c r="C24" s="34"/>
      <c r="D24" s="19"/>
      <c r="E24" s="11"/>
      <c r="F24" s="260">
        <f t="shared" si="0"/>
        <v>0</v>
      </c>
      <c r="G24" s="43"/>
      <c r="H24" s="18"/>
      <c r="I24" s="179">
        <f t="shared" si="1"/>
        <v>0</v>
      </c>
      <c r="J24" s="254"/>
      <c r="K24" s="254"/>
      <c r="L24" s="254"/>
      <c r="M24" s="254"/>
      <c r="N24" s="254"/>
      <c r="O24" s="254"/>
      <c r="P24" s="6"/>
      <c r="Q24" s="6"/>
      <c r="R24" s="6"/>
      <c r="S24" s="6"/>
      <c r="T24" s="6"/>
      <c r="U24" s="6"/>
      <c r="V24" s="6"/>
      <c r="W24" s="6"/>
      <c r="X24" s="6"/>
      <c r="Y24" s="6"/>
      <c r="Z24" s="6"/>
    </row>
    <row r="25" spans="1:26" ht="21.75" customHeight="1">
      <c r="A25" s="487"/>
      <c r="B25" s="495"/>
      <c r="C25" s="34"/>
      <c r="D25" s="19"/>
      <c r="E25" s="11"/>
      <c r="F25" s="260">
        <f t="shared" si="0"/>
        <v>0</v>
      </c>
      <c r="G25" s="43"/>
      <c r="H25" s="18"/>
      <c r="I25" s="179">
        <f t="shared" si="1"/>
        <v>0</v>
      </c>
      <c r="J25" s="254"/>
      <c r="K25" s="254"/>
      <c r="L25" s="254"/>
      <c r="M25" s="254"/>
      <c r="N25" s="254"/>
      <c r="O25" s="254"/>
      <c r="P25" s="6"/>
      <c r="Q25" s="6"/>
      <c r="R25" s="6"/>
      <c r="S25" s="6"/>
      <c r="T25" s="6"/>
      <c r="U25" s="6"/>
      <c r="V25" s="6"/>
      <c r="W25" s="6"/>
      <c r="X25" s="6"/>
      <c r="Y25" s="6"/>
      <c r="Z25" s="6"/>
    </row>
    <row r="26" spans="1:26" ht="21.75" customHeight="1">
      <c r="A26" s="487"/>
      <c r="B26" s="495"/>
      <c r="C26" s="34"/>
      <c r="D26" s="19"/>
      <c r="E26" s="11"/>
      <c r="F26" s="260">
        <f t="shared" si="0"/>
        <v>0</v>
      </c>
      <c r="G26" s="43"/>
      <c r="H26" s="18"/>
      <c r="I26" s="179">
        <f t="shared" si="1"/>
        <v>0</v>
      </c>
      <c r="J26" s="254"/>
      <c r="K26" s="254"/>
      <c r="L26" s="254"/>
      <c r="M26" s="254"/>
      <c r="N26" s="254"/>
      <c r="O26" s="254"/>
      <c r="P26" s="6"/>
      <c r="Q26" s="6"/>
      <c r="R26" s="6"/>
      <c r="S26" s="6"/>
      <c r="T26" s="6"/>
      <c r="U26" s="6"/>
      <c r="V26" s="6"/>
      <c r="W26" s="6"/>
      <c r="X26" s="6"/>
      <c r="Y26" s="6"/>
      <c r="Z26" s="6"/>
    </row>
    <row r="27" spans="1:26" ht="21.75" customHeight="1">
      <c r="A27" s="487"/>
      <c r="B27" s="495"/>
      <c r="C27" s="34"/>
      <c r="D27" s="19"/>
      <c r="E27" s="11"/>
      <c r="F27" s="260">
        <f t="shared" si="0"/>
        <v>0</v>
      </c>
      <c r="G27" s="43"/>
      <c r="H27" s="18"/>
      <c r="I27" s="179">
        <f t="shared" si="1"/>
        <v>0</v>
      </c>
      <c r="J27" s="254"/>
      <c r="K27" s="254"/>
      <c r="L27" s="254"/>
      <c r="M27" s="254"/>
      <c r="N27" s="254"/>
      <c r="O27" s="254"/>
      <c r="P27" s="6"/>
      <c r="Q27" s="6"/>
      <c r="R27" s="6"/>
      <c r="S27" s="6"/>
      <c r="T27" s="6"/>
      <c r="U27" s="6"/>
      <c r="V27" s="6"/>
      <c r="W27" s="6"/>
      <c r="X27" s="6"/>
      <c r="Y27" s="6"/>
      <c r="Z27" s="6"/>
    </row>
    <row r="28" spans="1:26" ht="21.75" customHeight="1">
      <c r="A28" s="487"/>
      <c r="B28" s="495"/>
      <c r="C28" s="34"/>
      <c r="D28" s="19"/>
      <c r="E28" s="11"/>
      <c r="F28" s="260">
        <f t="shared" si="0"/>
        <v>0</v>
      </c>
      <c r="G28" s="43"/>
      <c r="H28" s="18"/>
      <c r="I28" s="179">
        <f t="shared" si="1"/>
        <v>0</v>
      </c>
      <c r="J28" s="254"/>
      <c r="K28" s="254"/>
      <c r="L28" s="254"/>
      <c r="M28" s="254"/>
      <c r="N28" s="254"/>
      <c r="O28" s="254"/>
      <c r="P28" s="6"/>
      <c r="Q28" s="6"/>
      <c r="R28" s="6"/>
      <c r="S28" s="6"/>
      <c r="T28" s="6"/>
      <c r="U28" s="6"/>
      <c r="V28" s="6"/>
      <c r="W28" s="6"/>
      <c r="X28" s="6"/>
      <c r="Y28" s="6"/>
      <c r="Z28" s="6"/>
    </row>
    <row r="29" spans="1:26" ht="21.75" customHeight="1">
      <c r="A29" s="487"/>
      <c r="B29" s="495"/>
      <c r="C29" s="34"/>
      <c r="D29" s="19"/>
      <c r="E29" s="11"/>
      <c r="F29" s="260">
        <f t="shared" si="0"/>
        <v>0</v>
      </c>
      <c r="G29" s="43"/>
      <c r="H29" s="18"/>
      <c r="I29" s="179">
        <f t="shared" si="1"/>
        <v>0</v>
      </c>
      <c r="J29" s="254"/>
      <c r="K29" s="254"/>
      <c r="L29" s="254"/>
      <c r="M29" s="254"/>
      <c r="N29" s="254"/>
      <c r="O29" s="254"/>
      <c r="P29" s="6"/>
      <c r="Q29" s="6"/>
      <c r="R29" s="6"/>
      <c r="S29" s="6"/>
      <c r="T29" s="6"/>
      <c r="U29" s="6"/>
      <c r="V29" s="6"/>
      <c r="W29" s="6"/>
      <c r="X29" s="6"/>
      <c r="Y29" s="6"/>
      <c r="Z29" s="6"/>
    </row>
    <row r="30" spans="1:26" ht="21.75" customHeight="1">
      <c r="A30" s="487"/>
      <c r="B30" s="495"/>
      <c r="C30" s="34"/>
      <c r="D30" s="19"/>
      <c r="E30" s="11"/>
      <c r="F30" s="263">
        <f t="shared" si="0"/>
        <v>0</v>
      </c>
      <c r="G30" s="34"/>
      <c r="H30" s="22"/>
      <c r="I30" s="182">
        <f t="shared" si="1"/>
        <v>0</v>
      </c>
      <c r="J30" s="254"/>
      <c r="K30" s="254"/>
      <c r="L30" s="254"/>
      <c r="M30" s="254"/>
      <c r="N30" s="254"/>
      <c r="O30" s="254"/>
      <c r="P30" s="6"/>
      <c r="Q30" s="6"/>
      <c r="R30" s="6"/>
      <c r="S30" s="6"/>
      <c r="T30" s="6"/>
      <c r="U30" s="6"/>
      <c r="V30" s="6"/>
      <c r="W30" s="6"/>
      <c r="X30" s="6"/>
      <c r="Y30" s="6"/>
      <c r="Z30" s="6"/>
    </row>
    <row r="31" spans="1:26" ht="15.75" customHeight="1" thickBot="1">
      <c r="A31" s="23"/>
      <c r="B31" s="24"/>
      <c r="C31" s="467" t="s">
        <v>122</v>
      </c>
      <c r="D31" s="468"/>
      <c r="E31" s="468"/>
      <c r="F31" s="25">
        <f>SUM(F6:F30)</f>
        <v>0</v>
      </c>
      <c r="G31" s="467" t="s">
        <v>123</v>
      </c>
      <c r="H31" s="468"/>
      <c r="I31" s="25">
        <f>SUM(I6:I30)</f>
        <v>0</v>
      </c>
      <c r="J31" s="255"/>
      <c r="K31" s="255"/>
      <c r="L31" s="255"/>
      <c r="M31" s="255"/>
      <c r="N31" s="255"/>
      <c r="O31" s="255"/>
      <c r="P31" s="7"/>
      <c r="Q31" s="7"/>
      <c r="R31" s="7"/>
      <c r="S31" s="7"/>
      <c r="T31" s="7"/>
      <c r="U31" s="7"/>
      <c r="V31" s="7"/>
      <c r="W31" s="7"/>
      <c r="X31" s="7"/>
      <c r="Y31" s="7"/>
      <c r="Z31" s="7"/>
    </row>
    <row r="32" spans="1:26" ht="19.5" customHeight="1" thickBot="1">
      <c r="A32" s="469" t="s">
        <v>125</v>
      </c>
      <c r="B32" s="470"/>
      <c r="C32" s="470"/>
      <c r="D32" s="470"/>
      <c r="E32" s="470"/>
      <c r="F32" s="470"/>
      <c r="G32" s="470"/>
      <c r="H32" s="470"/>
      <c r="I32" s="26">
        <f>SUM(I31,F31)</f>
        <v>0</v>
      </c>
      <c r="J32" s="255"/>
      <c r="K32" s="255"/>
      <c r="L32" s="255"/>
      <c r="M32" s="255"/>
      <c r="N32" s="255"/>
      <c r="O32" s="255"/>
      <c r="P32" s="7"/>
      <c r="Q32" s="7"/>
      <c r="R32" s="7"/>
      <c r="S32" s="7"/>
      <c r="T32" s="7"/>
      <c r="U32" s="7"/>
      <c r="V32" s="7"/>
      <c r="W32" s="7"/>
      <c r="X32" s="7"/>
      <c r="Y32" s="7"/>
      <c r="Z32" s="7"/>
    </row>
    <row r="33" spans="1:26" ht="36" customHeight="1" thickBot="1">
      <c r="A33" s="477" t="s">
        <v>203</v>
      </c>
      <c r="B33" s="478"/>
      <c r="C33" s="478"/>
      <c r="D33" s="478"/>
      <c r="E33" s="478"/>
      <c r="F33" s="478"/>
      <c r="G33" s="478"/>
      <c r="H33" s="478"/>
      <c r="I33" s="479"/>
      <c r="J33" s="255"/>
      <c r="K33" s="255"/>
      <c r="L33" s="255"/>
      <c r="M33" s="255"/>
      <c r="N33" s="255"/>
      <c r="O33" s="255"/>
      <c r="P33" s="7"/>
      <c r="Q33" s="7"/>
      <c r="R33" s="7"/>
      <c r="S33" s="7"/>
      <c r="T33" s="7"/>
      <c r="U33" s="7"/>
      <c r="V33" s="7"/>
      <c r="W33" s="7"/>
      <c r="X33" s="7"/>
      <c r="Y33" s="7"/>
      <c r="Z33" s="7"/>
    </row>
    <row r="34" spans="1:26" ht="15.5">
      <c r="A34" s="452" t="s">
        <v>93</v>
      </c>
      <c r="B34" s="453"/>
      <c r="C34" s="390" t="s">
        <v>91</v>
      </c>
      <c r="D34" s="382"/>
      <c r="E34" s="382"/>
      <c r="F34" s="383"/>
      <c r="G34" s="381" t="s">
        <v>92</v>
      </c>
      <c r="H34" s="382"/>
      <c r="I34" s="383"/>
      <c r="J34" s="256"/>
      <c r="K34" s="256"/>
      <c r="L34" s="256"/>
      <c r="M34" s="256"/>
      <c r="N34" s="256"/>
      <c r="O34" s="256"/>
      <c r="P34" s="8"/>
      <c r="Q34" s="8"/>
      <c r="R34" s="8"/>
      <c r="S34" s="8"/>
      <c r="T34" s="8"/>
      <c r="U34" s="8"/>
      <c r="V34" s="8"/>
      <c r="W34" s="8"/>
      <c r="X34" s="8"/>
      <c r="Y34" s="8"/>
      <c r="Z34" s="8"/>
    </row>
    <row r="35" spans="1:26" ht="15.75" customHeight="1" thickBot="1">
      <c r="A35" s="454"/>
      <c r="B35" s="455"/>
      <c r="C35" s="37" t="s">
        <v>129</v>
      </c>
      <c r="D35" s="27" t="s">
        <v>95</v>
      </c>
      <c r="E35" s="28" t="s">
        <v>61</v>
      </c>
      <c r="F35" s="38" t="s">
        <v>79</v>
      </c>
      <c r="G35" s="44" t="s">
        <v>96</v>
      </c>
      <c r="H35" s="30" t="s">
        <v>85</v>
      </c>
      <c r="I35" s="31" t="s">
        <v>79</v>
      </c>
      <c r="J35" s="256"/>
      <c r="K35" s="256"/>
      <c r="L35" s="256"/>
      <c r="M35" s="256"/>
      <c r="N35" s="256"/>
      <c r="O35" s="256"/>
      <c r="P35" s="8"/>
      <c r="Q35" s="8"/>
      <c r="R35" s="8"/>
      <c r="S35" s="8"/>
      <c r="T35" s="8"/>
      <c r="U35" s="8"/>
      <c r="V35" s="8"/>
      <c r="W35" s="8"/>
      <c r="X35" s="8"/>
      <c r="Y35" s="8"/>
      <c r="Z35" s="8"/>
    </row>
    <row r="36" spans="1:26" ht="21.75" customHeight="1">
      <c r="A36" s="489"/>
      <c r="B36" s="488"/>
      <c r="C36" s="39">
        <v>1</v>
      </c>
      <c r="D36" s="20"/>
      <c r="E36" s="12">
        <v>0</v>
      </c>
      <c r="F36" s="40">
        <f t="shared" ref="F36:F48" si="2">C36*E36</f>
        <v>0</v>
      </c>
      <c r="G36" s="45">
        <v>1</v>
      </c>
      <c r="H36" s="12">
        <v>0</v>
      </c>
      <c r="I36" s="264">
        <f>G36*H36</f>
        <v>0</v>
      </c>
      <c r="J36" s="252"/>
      <c r="K36" s="252"/>
      <c r="L36" s="252"/>
      <c r="M36" s="252"/>
      <c r="N36" s="252"/>
      <c r="O36" s="252"/>
    </row>
    <row r="37" spans="1:26" ht="21.75" customHeight="1">
      <c r="A37" s="489"/>
      <c r="B37" s="488"/>
      <c r="C37" s="39"/>
      <c r="D37" s="20"/>
      <c r="E37" s="12"/>
      <c r="F37" s="40">
        <f t="shared" si="2"/>
        <v>0</v>
      </c>
      <c r="G37" s="45"/>
      <c r="H37" s="12"/>
      <c r="I37" s="206">
        <f t="shared" ref="I37:I48" si="3">G37*H37</f>
        <v>0</v>
      </c>
      <c r="J37" s="252"/>
      <c r="K37" s="252"/>
      <c r="L37" s="252"/>
      <c r="M37" s="252"/>
      <c r="N37" s="252"/>
      <c r="O37" s="252"/>
    </row>
    <row r="38" spans="1:26" ht="21.75" customHeight="1">
      <c r="A38" s="489"/>
      <c r="B38" s="488"/>
      <c r="C38" s="39"/>
      <c r="D38" s="20"/>
      <c r="E38" s="12"/>
      <c r="F38" s="40">
        <f t="shared" si="2"/>
        <v>0</v>
      </c>
      <c r="G38" s="45"/>
      <c r="H38" s="12"/>
      <c r="I38" s="206">
        <f t="shared" si="3"/>
        <v>0</v>
      </c>
      <c r="J38" s="252"/>
      <c r="K38" s="252"/>
      <c r="L38" s="252"/>
      <c r="M38" s="252"/>
      <c r="N38" s="252"/>
      <c r="O38" s="252"/>
    </row>
    <row r="39" spans="1:26" ht="21.75" customHeight="1">
      <c r="A39" s="489"/>
      <c r="B39" s="488"/>
      <c r="C39" s="39"/>
      <c r="D39" s="20"/>
      <c r="E39" s="12"/>
      <c r="F39" s="40">
        <f t="shared" si="2"/>
        <v>0</v>
      </c>
      <c r="G39" s="45"/>
      <c r="H39" s="12"/>
      <c r="I39" s="206">
        <f t="shared" si="3"/>
        <v>0</v>
      </c>
      <c r="J39" s="252"/>
      <c r="K39" s="252"/>
      <c r="L39" s="252"/>
      <c r="M39" s="252"/>
      <c r="N39" s="252"/>
      <c r="O39" s="252"/>
    </row>
    <row r="40" spans="1:26" ht="21.75" customHeight="1">
      <c r="A40" s="489"/>
      <c r="B40" s="488"/>
      <c r="C40" s="39"/>
      <c r="D40" s="20"/>
      <c r="E40" s="12"/>
      <c r="F40" s="40">
        <f t="shared" si="2"/>
        <v>0</v>
      </c>
      <c r="G40" s="45"/>
      <c r="H40" s="12"/>
      <c r="I40" s="206">
        <f t="shared" si="3"/>
        <v>0</v>
      </c>
      <c r="J40" s="252"/>
      <c r="K40" s="252"/>
      <c r="L40" s="252"/>
      <c r="M40" s="252"/>
      <c r="N40" s="252"/>
      <c r="O40" s="252"/>
    </row>
    <row r="41" spans="1:26" ht="21.75" customHeight="1">
      <c r="A41" s="489"/>
      <c r="B41" s="488"/>
      <c r="C41" s="39"/>
      <c r="D41" s="20"/>
      <c r="E41" s="12"/>
      <c r="F41" s="40">
        <f t="shared" si="2"/>
        <v>0</v>
      </c>
      <c r="G41" s="45"/>
      <c r="H41" s="12"/>
      <c r="I41" s="206">
        <f t="shared" si="3"/>
        <v>0</v>
      </c>
      <c r="J41" s="252"/>
      <c r="K41" s="252"/>
      <c r="L41" s="252"/>
      <c r="M41" s="252"/>
      <c r="N41" s="252"/>
      <c r="O41" s="252"/>
    </row>
    <row r="42" spans="1:26" ht="21.75" customHeight="1">
      <c r="A42" s="489"/>
      <c r="B42" s="488"/>
      <c r="C42" s="39"/>
      <c r="D42" s="20"/>
      <c r="E42" s="12"/>
      <c r="F42" s="40">
        <f t="shared" si="2"/>
        <v>0</v>
      </c>
      <c r="G42" s="45"/>
      <c r="H42" s="12"/>
      <c r="I42" s="206">
        <f t="shared" si="3"/>
        <v>0</v>
      </c>
      <c r="J42" s="252"/>
      <c r="K42" s="252"/>
      <c r="L42" s="252"/>
      <c r="M42" s="252"/>
      <c r="N42" s="252"/>
      <c r="O42" s="252"/>
    </row>
    <row r="43" spans="1:26" ht="21.75" customHeight="1">
      <c r="A43" s="489"/>
      <c r="B43" s="488"/>
      <c r="C43" s="39"/>
      <c r="D43" s="20"/>
      <c r="E43" s="12"/>
      <c r="F43" s="40">
        <f t="shared" si="2"/>
        <v>0</v>
      </c>
      <c r="G43" s="45"/>
      <c r="H43" s="12"/>
      <c r="I43" s="206">
        <f t="shared" si="3"/>
        <v>0</v>
      </c>
      <c r="J43" s="252"/>
      <c r="K43" s="252"/>
      <c r="L43" s="252"/>
      <c r="M43" s="252"/>
      <c r="N43" s="252"/>
      <c r="O43" s="252"/>
    </row>
    <row r="44" spans="1:26" ht="21.75" customHeight="1">
      <c r="A44" s="489"/>
      <c r="B44" s="488"/>
      <c r="C44" s="39"/>
      <c r="D44" s="20"/>
      <c r="E44" s="12"/>
      <c r="F44" s="40">
        <f t="shared" si="2"/>
        <v>0</v>
      </c>
      <c r="G44" s="45"/>
      <c r="H44" s="12"/>
      <c r="I44" s="206">
        <f t="shared" si="3"/>
        <v>0</v>
      </c>
      <c r="J44" s="252"/>
      <c r="K44" s="252"/>
      <c r="L44" s="252"/>
      <c r="M44" s="252"/>
      <c r="N44" s="252"/>
      <c r="O44" s="252"/>
    </row>
    <row r="45" spans="1:26" ht="21.75" customHeight="1">
      <c r="A45" s="489"/>
      <c r="B45" s="488"/>
      <c r="C45" s="39"/>
      <c r="D45" s="20"/>
      <c r="E45" s="12"/>
      <c r="F45" s="40">
        <f t="shared" si="2"/>
        <v>0</v>
      </c>
      <c r="G45" s="45"/>
      <c r="H45" s="12"/>
      <c r="I45" s="206">
        <f t="shared" si="3"/>
        <v>0</v>
      </c>
      <c r="J45" s="252"/>
      <c r="K45" s="252"/>
      <c r="L45" s="252"/>
      <c r="M45" s="252"/>
      <c r="N45" s="252"/>
      <c r="O45" s="252"/>
    </row>
    <row r="46" spans="1:26" ht="21.75" customHeight="1">
      <c r="A46" s="489"/>
      <c r="B46" s="488"/>
      <c r="C46" s="39"/>
      <c r="D46" s="20"/>
      <c r="E46" s="12"/>
      <c r="F46" s="40">
        <f t="shared" si="2"/>
        <v>0</v>
      </c>
      <c r="G46" s="45"/>
      <c r="H46" s="12"/>
      <c r="I46" s="206">
        <f t="shared" si="3"/>
        <v>0</v>
      </c>
      <c r="J46" s="252"/>
      <c r="K46" s="252"/>
      <c r="L46" s="252"/>
      <c r="M46" s="252"/>
      <c r="N46" s="252"/>
      <c r="O46" s="252"/>
    </row>
    <row r="47" spans="1:26" ht="21.75" customHeight="1">
      <c r="A47" s="489"/>
      <c r="B47" s="488"/>
      <c r="C47" s="39"/>
      <c r="D47" s="20"/>
      <c r="E47" s="12"/>
      <c r="F47" s="40">
        <f t="shared" si="2"/>
        <v>0</v>
      </c>
      <c r="G47" s="45"/>
      <c r="H47" s="12"/>
      <c r="I47" s="206">
        <f t="shared" si="3"/>
        <v>0</v>
      </c>
      <c r="J47" s="252"/>
      <c r="K47" s="252"/>
      <c r="L47" s="252"/>
      <c r="M47" s="252"/>
      <c r="N47" s="252"/>
      <c r="O47" s="252"/>
    </row>
    <row r="48" spans="1:26" ht="21.75" customHeight="1">
      <c r="A48" s="489"/>
      <c r="B48" s="488"/>
      <c r="C48" s="39"/>
      <c r="D48" s="20"/>
      <c r="E48" s="12"/>
      <c r="F48" s="40">
        <f t="shared" si="2"/>
        <v>0</v>
      </c>
      <c r="G48" s="45"/>
      <c r="H48" s="12"/>
      <c r="I48" s="206">
        <f t="shared" si="3"/>
        <v>0</v>
      </c>
      <c r="J48" s="252"/>
      <c r="K48" s="252"/>
      <c r="L48" s="252"/>
      <c r="M48" s="252"/>
      <c r="N48" s="252"/>
      <c r="O48" s="252"/>
    </row>
    <row r="49" spans="1:15" ht="15.75" customHeight="1" thickBot="1">
      <c r="A49" s="46"/>
      <c r="B49" s="47"/>
      <c r="C49" s="473" t="s">
        <v>122</v>
      </c>
      <c r="D49" s="474"/>
      <c r="E49" s="475"/>
      <c r="F49" s="266">
        <f>SUM(F36:F48)</f>
        <v>0</v>
      </c>
      <c r="G49" s="473" t="s">
        <v>123</v>
      </c>
      <c r="H49" s="475"/>
      <c r="I49" s="266">
        <f>SUM(I36:I48)</f>
        <v>0</v>
      </c>
      <c r="J49" s="252"/>
      <c r="K49" s="252"/>
      <c r="L49" s="252"/>
      <c r="M49" s="252"/>
      <c r="N49" s="252"/>
      <c r="O49" s="252"/>
    </row>
    <row r="50" spans="1:15" ht="20.149999999999999" customHeight="1" thickBot="1">
      <c r="A50" s="469" t="s">
        <v>124</v>
      </c>
      <c r="B50" s="470"/>
      <c r="C50" s="470"/>
      <c r="D50" s="470"/>
      <c r="E50" s="470"/>
      <c r="F50" s="470"/>
      <c r="G50" s="470"/>
      <c r="H50" s="470"/>
      <c r="I50" s="267">
        <f>SUM(I49,F49)</f>
        <v>0</v>
      </c>
      <c r="J50" s="252"/>
      <c r="K50" s="252"/>
      <c r="L50" s="252"/>
      <c r="M50" s="252"/>
      <c r="N50" s="252"/>
      <c r="O50" s="252"/>
    </row>
    <row r="51" spans="1:15" ht="15.75" customHeight="1">
      <c r="A51" s="252"/>
      <c r="B51" s="252"/>
      <c r="C51" s="252"/>
      <c r="D51" s="252"/>
      <c r="E51" s="257"/>
      <c r="F51" s="252"/>
      <c r="G51" s="252"/>
      <c r="H51" s="252"/>
      <c r="I51" s="252"/>
      <c r="J51" s="252"/>
      <c r="K51" s="252"/>
      <c r="L51" s="252"/>
      <c r="M51" s="252"/>
      <c r="N51" s="252"/>
      <c r="O51" s="252"/>
    </row>
    <row r="52" spans="1:15" ht="15.75" customHeight="1">
      <c r="A52" s="252"/>
      <c r="B52" s="252"/>
      <c r="C52" s="252"/>
      <c r="D52" s="252"/>
      <c r="E52" s="257"/>
      <c r="F52" s="252"/>
      <c r="G52" s="252"/>
      <c r="H52" s="252"/>
      <c r="I52" s="252"/>
      <c r="J52" s="252"/>
      <c r="K52" s="252"/>
      <c r="L52" s="252"/>
      <c r="M52" s="252"/>
      <c r="N52" s="252"/>
      <c r="O52" s="252"/>
    </row>
    <row r="53" spans="1:15" ht="15.75" customHeight="1">
      <c r="A53" s="252"/>
      <c r="B53" s="252"/>
      <c r="C53" s="252"/>
      <c r="D53" s="252"/>
      <c r="E53" s="257"/>
      <c r="F53" s="252"/>
      <c r="G53" s="252"/>
      <c r="H53" s="252"/>
      <c r="I53" s="252"/>
      <c r="J53" s="252"/>
      <c r="K53" s="252"/>
      <c r="L53" s="252"/>
      <c r="M53" s="252"/>
      <c r="N53" s="252"/>
      <c r="O53" s="252"/>
    </row>
    <row r="54" spans="1:15" ht="15.75" customHeight="1">
      <c r="A54" s="252"/>
      <c r="B54" s="252"/>
      <c r="C54" s="252"/>
      <c r="D54" s="252"/>
      <c r="E54" s="257"/>
      <c r="F54" s="252"/>
      <c r="G54" s="252"/>
      <c r="H54" s="252"/>
      <c r="I54" s="252"/>
      <c r="J54" s="252"/>
      <c r="K54" s="252"/>
      <c r="L54" s="252"/>
      <c r="M54" s="252"/>
      <c r="N54" s="252"/>
      <c r="O54" s="252"/>
    </row>
    <row r="55" spans="1:15" ht="15.75" customHeight="1">
      <c r="A55" s="252"/>
      <c r="B55" s="252"/>
      <c r="C55" s="252"/>
      <c r="D55" s="252"/>
      <c r="E55" s="257"/>
      <c r="F55" s="252"/>
      <c r="G55" s="252"/>
      <c r="H55" s="252"/>
      <c r="I55" s="252"/>
      <c r="J55" s="252"/>
      <c r="K55" s="252"/>
      <c r="L55" s="252"/>
      <c r="M55" s="252"/>
      <c r="N55" s="252"/>
      <c r="O55" s="252"/>
    </row>
    <row r="56" spans="1:15" ht="15.75" customHeight="1">
      <c r="A56" s="252"/>
      <c r="B56" s="252"/>
      <c r="C56" s="252"/>
      <c r="D56" s="252"/>
      <c r="E56" s="257"/>
      <c r="F56" s="252"/>
      <c r="G56" s="252"/>
      <c r="H56" s="252"/>
      <c r="I56" s="252"/>
      <c r="J56" s="252"/>
      <c r="K56" s="252"/>
      <c r="L56" s="252"/>
      <c r="M56" s="252"/>
      <c r="N56" s="252"/>
      <c r="O56" s="252"/>
    </row>
    <row r="57" spans="1:15" ht="15.75" customHeight="1">
      <c r="A57" s="252"/>
      <c r="B57" s="252"/>
      <c r="C57" s="252"/>
      <c r="D57" s="252"/>
      <c r="E57" s="257"/>
      <c r="F57" s="252"/>
      <c r="G57" s="252"/>
      <c r="H57" s="252"/>
      <c r="I57" s="252"/>
      <c r="J57" s="252"/>
      <c r="K57" s="252"/>
      <c r="L57" s="252"/>
      <c r="M57" s="252"/>
      <c r="N57" s="252"/>
      <c r="O57" s="252"/>
    </row>
    <row r="58" spans="1:15" ht="15.75" customHeight="1">
      <c r="A58" s="252"/>
      <c r="B58" s="252"/>
      <c r="C58" s="252"/>
      <c r="D58" s="252"/>
      <c r="E58" s="257"/>
      <c r="F58" s="252"/>
      <c r="G58" s="252"/>
      <c r="H58" s="252"/>
      <c r="I58" s="252"/>
      <c r="J58" s="252"/>
      <c r="K58" s="252"/>
      <c r="L58" s="252"/>
      <c r="M58" s="252"/>
      <c r="N58" s="252"/>
      <c r="O58" s="252"/>
    </row>
    <row r="59" spans="1:15" ht="15.75" customHeight="1">
      <c r="A59" s="252"/>
      <c r="B59" s="252"/>
      <c r="C59" s="252"/>
      <c r="D59" s="252"/>
      <c r="E59" s="257"/>
      <c r="F59" s="252"/>
      <c r="G59" s="252"/>
      <c r="H59" s="252"/>
      <c r="I59" s="252"/>
      <c r="J59" s="252"/>
      <c r="K59" s="252"/>
      <c r="L59" s="252"/>
      <c r="M59" s="252"/>
      <c r="N59" s="252"/>
      <c r="O59" s="252"/>
    </row>
    <row r="60" spans="1:15" ht="15.75" customHeight="1">
      <c r="A60" s="252"/>
      <c r="B60" s="252"/>
      <c r="C60" s="252"/>
      <c r="D60" s="252"/>
      <c r="E60" s="257"/>
      <c r="F60" s="252"/>
      <c r="G60" s="252"/>
      <c r="H60" s="252"/>
      <c r="I60" s="252"/>
      <c r="J60" s="252"/>
      <c r="K60" s="252"/>
      <c r="L60" s="252"/>
      <c r="M60" s="252"/>
      <c r="N60" s="252"/>
      <c r="O60" s="252"/>
    </row>
    <row r="61" spans="1:15" ht="15.75" customHeight="1">
      <c r="A61" s="252"/>
      <c r="B61" s="252"/>
      <c r="C61" s="252"/>
      <c r="D61" s="252"/>
      <c r="E61" s="257"/>
      <c r="F61" s="252"/>
      <c r="G61" s="252"/>
      <c r="H61" s="252"/>
      <c r="I61" s="252"/>
      <c r="J61" s="252"/>
      <c r="K61" s="252"/>
      <c r="L61" s="252"/>
      <c r="M61" s="252"/>
      <c r="N61" s="252"/>
      <c r="O61" s="252"/>
    </row>
    <row r="62" spans="1:15" ht="15.75" customHeight="1">
      <c r="A62" s="252"/>
      <c r="B62" s="252"/>
      <c r="C62" s="252"/>
      <c r="D62" s="252"/>
      <c r="E62" s="257"/>
      <c r="F62" s="252"/>
      <c r="G62" s="252"/>
      <c r="H62" s="252"/>
      <c r="I62" s="252"/>
      <c r="J62" s="252"/>
      <c r="K62" s="252"/>
      <c r="L62" s="252"/>
      <c r="M62" s="252"/>
      <c r="N62" s="252"/>
      <c r="O62" s="252"/>
    </row>
    <row r="63" spans="1:15" ht="15.75" customHeight="1">
      <c r="A63" s="252"/>
      <c r="B63" s="252"/>
      <c r="C63" s="252"/>
      <c r="D63" s="252"/>
      <c r="E63" s="257"/>
      <c r="F63" s="252"/>
      <c r="G63" s="252"/>
      <c r="H63" s="252"/>
      <c r="I63" s="252"/>
      <c r="J63" s="252"/>
      <c r="K63" s="252"/>
      <c r="L63" s="252"/>
      <c r="M63" s="252"/>
      <c r="N63" s="252"/>
      <c r="O63" s="252"/>
    </row>
    <row r="64" spans="1:15" ht="15.75" customHeight="1">
      <c r="A64" s="252"/>
      <c r="B64" s="252"/>
      <c r="C64" s="252"/>
      <c r="D64" s="252"/>
      <c r="E64" s="257"/>
      <c r="F64" s="252"/>
      <c r="G64" s="252"/>
      <c r="H64" s="252"/>
      <c r="I64" s="252"/>
      <c r="J64" s="252"/>
      <c r="K64" s="252"/>
      <c r="L64" s="252"/>
      <c r="M64" s="252"/>
      <c r="N64" s="252"/>
      <c r="O64" s="252"/>
    </row>
    <row r="65" spans="1:15" ht="15.75" customHeight="1">
      <c r="A65" s="252"/>
      <c r="B65" s="252"/>
      <c r="C65" s="252"/>
      <c r="D65" s="252"/>
      <c r="E65" s="257"/>
      <c r="F65" s="252"/>
      <c r="G65" s="252"/>
      <c r="H65" s="252"/>
      <c r="I65" s="252"/>
      <c r="J65" s="252"/>
      <c r="K65" s="252"/>
      <c r="L65" s="252"/>
      <c r="M65" s="252"/>
      <c r="N65" s="252"/>
      <c r="O65" s="252"/>
    </row>
    <row r="66" spans="1:15" ht="15.75" customHeight="1">
      <c r="E66" s="9"/>
    </row>
    <row r="67" spans="1:15" ht="15.75" customHeight="1">
      <c r="E67" s="9"/>
    </row>
    <row r="68" spans="1:15" ht="15.75" customHeight="1">
      <c r="E68" s="9"/>
    </row>
    <row r="69" spans="1:15" ht="15.75" customHeight="1">
      <c r="E69" s="9"/>
    </row>
    <row r="70" spans="1:15" ht="15.75" customHeight="1">
      <c r="E70" s="9"/>
    </row>
    <row r="71" spans="1:15" ht="15.75" customHeight="1">
      <c r="E71" s="9"/>
    </row>
    <row r="72" spans="1:15" ht="15.75" customHeight="1">
      <c r="E72" s="9"/>
    </row>
    <row r="73" spans="1:15" ht="15.75" customHeight="1">
      <c r="E73" s="9"/>
    </row>
    <row r="74" spans="1:15" ht="15.75" customHeight="1">
      <c r="E74" s="9"/>
    </row>
    <row r="75" spans="1:15" ht="15.75" customHeight="1">
      <c r="E75" s="9"/>
    </row>
    <row r="76" spans="1:15" ht="15.75" customHeight="1">
      <c r="E76" s="9"/>
    </row>
    <row r="77" spans="1:15" ht="15.75" customHeight="1">
      <c r="E77" s="9"/>
    </row>
    <row r="78" spans="1:15" ht="15.75" customHeight="1">
      <c r="E78" s="9"/>
    </row>
    <row r="79" spans="1:15" ht="15.75" customHeight="1">
      <c r="E79" s="9"/>
    </row>
    <row r="80" spans="1:1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row r="1004" spans="5:5" ht="15.75" customHeight="1">
      <c r="E1004" s="9"/>
    </row>
    <row r="1005" spans="5:5" ht="15.75" customHeight="1">
      <c r="E1005" s="9"/>
    </row>
    <row r="1006" spans="5:5" ht="15.75" customHeight="1">
      <c r="E1006" s="9"/>
    </row>
    <row r="1007" spans="5:5" ht="15.75" customHeight="1">
      <c r="E1007" s="9"/>
    </row>
    <row r="1008" spans="5:5" ht="15.75" customHeight="1">
      <c r="E1008" s="9"/>
    </row>
    <row r="1009" spans="5:5" ht="15.75" customHeight="1">
      <c r="E1009" s="9"/>
    </row>
    <row r="1010" spans="5:5" ht="15.75" customHeight="1">
      <c r="E1010" s="9"/>
    </row>
    <row r="1011" spans="5:5" ht="15.75" customHeight="1">
      <c r="E1011" s="9"/>
    </row>
    <row r="1012" spans="5:5" ht="15.75" customHeight="1">
      <c r="E1012" s="9"/>
    </row>
    <row r="1013" spans="5:5" ht="15.75" customHeight="1">
      <c r="E1013" s="9"/>
    </row>
    <row r="1014" spans="5:5" ht="15.75" customHeight="1">
      <c r="E1014" s="9"/>
    </row>
    <row r="1015" spans="5:5" ht="15.75" customHeight="1">
      <c r="E1015" s="9"/>
    </row>
  </sheetData>
  <mergeCells count="53">
    <mergeCell ref="A6:B6"/>
    <mergeCell ref="A1:F2"/>
    <mergeCell ref="A3:I3"/>
    <mergeCell ref="A4:B5"/>
    <mergeCell ref="C4:F4"/>
    <mergeCell ref="G4:I4"/>
    <mergeCell ref="A18:B18"/>
    <mergeCell ref="A7:B7"/>
    <mergeCell ref="A8:B8"/>
    <mergeCell ref="A9:B9"/>
    <mergeCell ref="A10:B10"/>
    <mergeCell ref="A11:B11"/>
    <mergeCell ref="A12:B12"/>
    <mergeCell ref="A13:B13"/>
    <mergeCell ref="A14:B14"/>
    <mergeCell ref="A15:B15"/>
    <mergeCell ref="A16:B16"/>
    <mergeCell ref="A17:B17"/>
    <mergeCell ref="A30:B30"/>
    <mergeCell ref="A19:B19"/>
    <mergeCell ref="A20:B20"/>
    <mergeCell ref="A21:B21"/>
    <mergeCell ref="A22:B22"/>
    <mergeCell ref="A23:B23"/>
    <mergeCell ref="A24:B24"/>
    <mergeCell ref="A25:B25"/>
    <mergeCell ref="A26:B26"/>
    <mergeCell ref="A27:B27"/>
    <mergeCell ref="A28:B28"/>
    <mergeCell ref="A29:B29"/>
    <mergeCell ref="A41:B41"/>
    <mergeCell ref="C31:E31"/>
    <mergeCell ref="G31:H31"/>
    <mergeCell ref="A32:H32"/>
    <mergeCell ref="A33:I33"/>
    <mergeCell ref="A34:B35"/>
    <mergeCell ref="C34:F34"/>
    <mergeCell ref="G34:I34"/>
    <mergeCell ref="A36:B36"/>
    <mergeCell ref="A37:B37"/>
    <mergeCell ref="A38:B38"/>
    <mergeCell ref="A39:B39"/>
    <mergeCell ref="A40:B40"/>
    <mergeCell ref="A48:B48"/>
    <mergeCell ref="C49:E49"/>
    <mergeCell ref="G49:H49"/>
    <mergeCell ref="A50:H50"/>
    <mergeCell ref="A42:B42"/>
    <mergeCell ref="A43:B43"/>
    <mergeCell ref="A44:B44"/>
    <mergeCell ref="A45:B45"/>
    <mergeCell ref="A46:B46"/>
    <mergeCell ref="A47:B47"/>
  </mergeCells>
  <conditionalFormatting sqref="G2:H2">
    <cfRule type="expression" dxfId="4" priority="1" stopIfTrue="1">
      <formula>"MM/DD/YY"</formula>
    </cfRule>
  </conditionalFormatting>
  <printOptions horizontalCentered="1"/>
  <pageMargins left="0.75" right="0.75" top="1" bottom="1" header="0" footer="0"/>
  <pageSetup scale="74" fitToHeight="0" orientation="portrait" r:id="rId1"/>
  <rowBreaks count="1" manualBreakCount="1">
    <brk id="32" max="16383" man="1"/>
  </rowBreaks>
  <drawing r:id="rId2"/>
  <legacyDrawing r:id="rId3"/>
  <controls>
    <mc:AlternateContent xmlns:mc="http://schemas.openxmlformats.org/markup-compatibility/2006">
      <mc:Choice Requires="x14">
        <control shapeId="25601" r:id="rId4" name="CommandButton1">
          <controlPr defaultSize="0" autoLine="0" altText="Add A Row Command Button" r:id="rId5">
            <anchor moveWithCells="1">
              <from>
                <xdr:col>9</xdr:col>
                <xdr:colOff>260350</xdr:colOff>
                <xdr:row>29</xdr:row>
                <xdr:rowOff>12700</xdr:rowOff>
              </from>
              <to>
                <xdr:col>11</xdr:col>
                <xdr:colOff>387350</xdr:colOff>
                <xdr:row>30</xdr:row>
                <xdr:rowOff>25400</xdr:rowOff>
              </to>
            </anchor>
          </controlPr>
        </control>
      </mc:Choice>
      <mc:Fallback>
        <control shapeId="25601" r:id="rId4" name="CommandButton1"/>
      </mc:Fallback>
    </mc:AlternateContent>
  </control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3A40-609A-4576-AF14-6AEE83D28B47}">
  <sheetPr codeName="Sheet25">
    <pageSetUpPr fitToPage="1"/>
  </sheetPr>
  <dimension ref="A1:Z1015"/>
  <sheetViews>
    <sheetView topLeftCell="C18" zoomScaleNormal="100" zoomScaleSheetLayoutView="90" workbookViewId="0">
      <selection activeCell="A4" sqref="A4:B5"/>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205</v>
      </c>
      <c r="B1" s="387"/>
      <c r="C1" s="387"/>
      <c r="D1" s="387"/>
      <c r="E1" s="387"/>
      <c r="F1" s="387"/>
      <c r="G1" s="258" t="s">
        <v>165</v>
      </c>
      <c r="H1" s="259"/>
      <c r="I1" s="162" t="s">
        <v>166</v>
      </c>
      <c r="J1" s="252"/>
      <c r="K1" s="252"/>
      <c r="L1" s="252"/>
      <c r="M1" s="252"/>
      <c r="N1" s="252"/>
      <c r="O1" s="252"/>
      <c r="P1" s="252"/>
    </row>
    <row r="2" spans="1:26" ht="15" customHeight="1" thickBot="1">
      <c r="A2" s="388"/>
      <c r="B2" s="389"/>
      <c r="C2" s="389"/>
      <c r="D2" s="389"/>
      <c r="E2" s="389"/>
      <c r="F2" s="389"/>
      <c r="G2" s="163" t="str">
        <f>IF(INPUT!C3=0,"",INPUT!C3)</f>
        <v>RLP # 36C248-25-R-0110 – EXHIBIT K</v>
      </c>
      <c r="H2" s="163"/>
      <c r="I2" s="164" t="str">
        <f>IF(INPUT!C10=0,"",INPUT!C10)</f>
        <v/>
      </c>
      <c r="J2" s="252"/>
      <c r="K2" s="252"/>
      <c r="L2" s="252"/>
      <c r="M2" s="252"/>
      <c r="N2" s="252"/>
      <c r="O2" s="252"/>
      <c r="P2" s="252"/>
    </row>
    <row r="3" spans="1:26" s="10" customFormat="1" ht="45" customHeight="1" thickBot="1">
      <c r="A3" s="480" t="s">
        <v>247</v>
      </c>
      <c r="B3" s="402"/>
      <c r="C3" s="402"/>
      <c r="D3" s="402"/>
      <c r="E3" s="402"/>
      <c r="F3" s="402"/>
      <c r="G3" s="402"/>
      <c r="H3" s="402"/>
      <c r="I3" s="403"/>
      <c r="J3" s="253"/>
      <c r="K3" s="253"/>
      <c r="L3" s="253"/>
      <c r="M3" s="253"/>
      <c r="N3" s="253"/>
      <c r="O3" s="253"/>
      <c r="P3" s="253"/>
    </row>
    <row r="4" spans="1:26" ht="15.5">
      <c r="A4" s="498" t="s">
        <v>93</v>
      </c>
      <c r="B4" s="499"/>
      <c r="C4" s="390" t="s">
        <v>91</v>
      </c>
      <c r="D4" s="382"/>
      <c r="E4" s="382"/>
      <c r="F4" s="383"/>
      <c r="G4" s="381" t="s">
        <v>92</v>
      </c>
      <c r="H4" s="382"/>
      <c r="I4" s="383"/>
      <c r="J4" s="252"/>
      <c r="K4" s="252"/>
      <c r="L4" s="252"/>
      <c r="M4" s="252"/>
      <c r="N4" s="252"/>
      <c r="O4" s="252"/>
      <c r="P4" s="252"/>
    </row>
    <row r="5" spans="1:26" ht="15.75" customHeight="1" thickBot="1">
      <c r="A5" s="454"/>
      <c r="B5" s="500"/>
      <c r="C5" s="37" t="s">
        <v>129</v>
      </c>
      <c r="D5" s="27" t="s">
        <v>95</v>
      </c>
      <c r="E5" s="28" t="s">
        <v>61</v>
      </c>
      <c r="F5" s="38" t="s">
        <v>79</v>
      </c>
      <c r="G5" s="44" t="s">
        <v>96</v>
      </c>
      <c r="H5" s="30" t="s">
        <v>85</v>
      </c>
      <c r="I5" s="31" t="s">
        <v>79</v>
      </c>
      <c r="J5" s="252"/>
      <c r="K5" s="252"/>
      <c r="L5" s="252"/>
      <c r="M5" s="252"/>
      <c r="N5" s="252"/>
      <c r="O5" s="252"/>
      <c r="P5" s="252"/>
    </row>
    <row r="6" spans="1:26" ht="21.75" customHeight="1">
      <c r="A6" s="476" t="s">
        <v>149</v>
      </c>
      <c r="B6" s="497"/>
      <c r="C6" s="34">
        <v>1</v>
      </c>
      <c r="D6" s="19" t="s">
        <v>148</v>
      </c>
      <c r="E6" s="11">
        <v>0</v>
      </c>
      <c r="F6" s="260">
        <f t="shared" ref="F6:F30" si="0">C6*E6</f>
        <v>0</v>
      </c>
      <c r="G6" s="34">
        <v>1</v>
      </c>
      <c r="H6" s="17">
        <v>0</v>
      </c>
      <c r="I6" s="261">
        <f t="shared" ref="I6:I30" si="1">G6*H6</f>
        <v>0</v>
      </c>
      <c r="J6" s="254"/>
      <c r="K6" s="254"/>
      <c r="L6" s="254"/>
      <c r="M6" s="254"/>
      <c r="N6" s="254"/>
      <c r="O6" s="254"/>
      <c r="P6" s="254"/>
      <c r="Q6" s="6"/>
      <c r="R6" s="6"/>
      <c r="S6" s="6"/>
      <c r="T6" s="6"/>
      <c r="U6" s="6"/>
      <c r="V6" s="6"/>
      <c r="W6" s="6"/>
      <c r="X6" s="6"/>
      <c r="Y6" s="6"/>
      <c r="Z6" s="6"/>
    </row>
    <row r="7" spans="1:26" ht="21.75" customHeight="1">
      <c r="A7" s="487"/>
      <c r="B7" s="495"/>
      <c r="C7" s="34"/>
      <c r="D7" s="19"/>
      <c r="E7" s="11"/>
      <c r="F7" s="260">
        <f>C7*E7</f>
        <v>0</v>
      </c>
      <c r="G7" s="43"/>
      <c r="H7" s="18"/>
      <c r="I7" s="179">
        <f t="shared" si="1"/>
        <v>0</v>
      </c>
      <c r="J7" s="254"/>
      <c r="K7" s="254"/>
      <c r="L7" s="254"/>
      <c r="M7" s="254"/>
      <c r="N7" s="254"/>
      <c r="O7" s="254"/>
      <c r="P7" s="254"/>
      <c r="Q7" s="6"/>
      <c r="R7" s="6"/>
      <c r="S7" s="6"/>
      <c r="T7" s="6"/>
      <c r="U7" s="6"/>
      <c r="V7" s="6"/>
      <c r="W7" s="6"/>
      <c r="X7" s="6"/>
      <c r="Y7" s="6"/>
      <c r="Z7" s="6"/>
    </row>
    <row r="8" spans="1:26" ht="21.75" customHeight="1">
      <c r="A8" s="487"/>
      <c r="B8" s="495"/>
      <c r="C8" s="34"/>
      <c r="D8" s="19"/>
      <c r="E8" s="11"/>
      <c r="F8" s="262">
        <f t="shared" si="0"/>
        <v>0</v>
      </c>
      <c r="G8" s="43"/>
      <c r="H8" s="18"/>
      <c r="I8" s="179">
        <f t="shared" si="1"/>
        <v>0</v>
      </c>
      <c r="J8" s="254"/>
      <c r="K8" s="254"/>
      <c r="L8" s="254"/>
      <c r="M8" s="254"/>
      <c r="N8" s="254"/>
      <c r="O8" s="254"/>
      <c r="P8" s="254"/>
      <c r="Q8" s="6"/>
      <c r="R8" s="6"/>
      <c r="S8" s="6"/>
      <c r="T8" s="6"/>
      <c r="U8" s="6"/>
      <c r="V8" s="6"/>
      <c r="W8" s="6"/>
      <c r="X8" s="6"/>
      <c r="Y8" s="6"/>
      <c r="Z8" s="6"/>
    </row>
    <row r="9" spans="1:26" ht="21.75" customHeight="1">
      <c r="A9" s="487"/>
      <c r="B9" s="495"/>
      <c r="C9" s="34"/>
      <c r="D9" s="19"/>
      <c r="E9" s="11"/>
      <c r="F9" s="262">
        <f t="shared" si="0"/>
        <v>0</v>
      </c>
      <c r="G9" s="43"/>
      <c r="H9" s="18"/>
      <c r="I9" s="179">
        <f t="shared" si="1"/>
        <v>0</v>
      </c>
      <c r="J9" s="254"/>
      <c r="K9" s="254"/>
      <c r="L9" s="254"/>
      <c r="M9" s="254"/>
      <c r="N9" s="254"/>
      <c r="O9" s="254"/>
      <c r="P9" s="254"/>
      <c r="Q9" s="6"/>
      <c r="R9" s="6"/>
      <c r="S9" s="6"/>
      <c r="T9" s="6"/>
      <c r="U9" s="6"/>
      <c r="V9" s="6"/>
      <c r="W9" s="6"/>
      <c r="X9" s="6"/>
      <c r="Y9" s="6"/>
      <c r="Z9" s="6"/>
    </row>
    <row r="10" spans="1:26" ht="21.75" customHeight="1">
      <c r="A10" s="487"/>
      <c r="B10" s="495"/>
      <c r="C10" s="34"/>
      <c r="D10" s="19"/>
      <c r="E10" s="11"/>
      <c r="F10" s="260">
        <f t="shared" si="0"/>
        <v>0</v>
      </c>
      <c r="G10" s="43"/>
      <c r="H10" s="18"/>
      <c r="I10" s="179">
        <f t="shared" si="1"/>
        <v>0</v>
      </c>
      <c r="J10" s="254"/>
      <c r="K10" s="254"/>
      <c r="L10" s="254"/>
      <c r="M10" s="254"/>
      <c r="N10" s="254"/>
      <c r="O10" s="254"/>
      <c r="P10" s="254"/>
      <c r="Q10" s="6"/>
      <c r="R10" s="6"/>
      <c r="S10" s="6"/>
      <c r="T10" s="6"/>
      <c r="U10" s="6"/>
      <c r="V10" s="6"/>
      <c r="W10" s="6"/>
      <c r="X10" s="6"/>
      <c r="Y10" s="6"/>
      <c r="Z10" s="6"/>
    </row>
    <row r="11" spans="1:26" ht="21.75" customHeight="1">
      <c r="A11" s="490"/>
      <c r="B11" s="496"/>
      <c r="C11" s="34"/>
      <c r="D11" s="19"/>
      <c r="E11" s="11"/>
      <c r="F11" s="260">
        <f t="shared" si="0"/>
        <v>0</v>
      </c>
      <c r="G11" s="43"/>
      <c r="H11" s="18"/>
      <c r="I11" s="179">
        <f t="shared" si="1"/>
        <v>0</v>
      </c>
      <c r="J11" s="254"/>
      <c r="K11" s="254"/>
      <c r="L11" s="254"/>
      <c r="M11" s="254"/>
      <c r="N11" s="254"/>
      <c r="O11" s="254"/>
      <c r="P11" s="254"/>
      <c r="Q11" s="6"/>
      <c r="R11" s="6"/>
      <c r="S11" s="6"/>
      <c r="T11" s="6"/>
      <c r="U11" s="6"/>
      <c r="V11" s="6"/>
      <c r="W11" s="6"/>
      <c r="X11" s="6"/>
      <c r="Y11" s="6"/>
      <c r="Z11" s="6"/>
    </row>
    <row r="12" spans="1:26" ht="21.75" customHeight="1">
      <c r="A12" s="487"/>
      <c r="B12" s="495"/>
      <c r="C12" s="34"/>
      <c r="D12" s="19"/>
      <c r="E12" s="11"/>
      <c r="F12" s="260">
        <f t="shared" si="0"/>
        <v>0</v>
      </c>
      <c r="G12" s="43"/>
      <c r="H12" s="18"/>
      <c r="I12" s="179">
        <f t="shared" si="1"/>
        <v>0</v>
      </c>
      <c r="J12" s="254"/>
      <c r="K12" s="254"/>
      <c r="L12" s="254"/>
      <c r="M12" s="254"/>
      <c r="N12" s="254"/>
      <c r="O12" s="254"/>
      <c r="P12" s="254"/>
      <c r="Q12" s="6"/>
      <c r="R12" s="6"/>
      <c r="S12" s="6"/>
      <c r="T12" s="6"/>
      <c r="U12" s="6"/>
      <c r="V12" s="6"/>
      <c r="W12" s="6"/>
      <c r="X12" s="6"/>
      <c r="Y12" s="6"/>
      <c r="Z12" s="6"/>
    </row>
    <row r="13" spans="1:26" ht="21.75" customHeight="1">
      <c r="A13" s="490"/>
      <c r="B13" s="496"/>
      <c r="C13" s="34"/>
      <c r="D13" s="19"/>
      <c r="E13" s="11"/>
      <c r="F13" s="260">
        <f t="shared" si="0"/>
        <v>0</v>
      </c>
      <c r="G13" s="43"/>
      <c r="H13" s="18"/>
      <c r="I13" s="179">
        <f t="shared" si="1"/>
        <v>0</v>
      </c>
      <c r="J13" s="254"/>
      <c r="K13" s="254"/>
      <c r="L13" s="254"/>
      <c r="M13" s="254"/>
      <c r="N13" s="254"/>
      <c r="O13" s="254"/>
      <c r="P13" s="254"/>
      <c r="Q13" s="6"/>
      <c r="R13" s="6"/>
      <c r="S13" s="6"/>
      <c r="T13" s="6"/>
      <c r="U13" s="6"/>
      <c r="V13" s="6"/>
      <c r="W13" s="6"/>
      <c r="X13" s="6"/>
      <c r="Y13" s="6"/>
      <c r="Z13" s="6"/>
    </row>
    <row r="14" spans="1:26" ht="21.75" customHeight="1">
      <c r="A14" s="490"/>
      <c r="B14" s="496"/>
      <c r="C14" s="34"/>
      <c r="D14" s="19"/>
      <c r="E14" s="11"/>
      <c r="F14" s="260">
        <f t="shared" si="0"/>
        <v>0</v>
      </c>
      <c r="G14" s="43"/>
      <c r="H14" s="18"/>
      <c r="I14" s="179">
        <f t="shared" si="1"/>
        <v>0</v>
      </c>
      <c r="J14" s="254"/>
      <c r="K14" s="254"/>
      <c r="L14" s="254"/>
      <c r="M14" s="254"/>
      <c r="N14" s="254"/>
      <c r="O14" s="254"/>
      <c r="P14" s="254"/>
      <c r="Q14" s="6"/>
      <c r="R14" s="6"/>
      <c r="S14" s="6"/>
      <c r="T14" s="6"/>
      <c r="U14" s="6"/>
      <c r="V14" s="6"/>
      <c r="W14" s="6"/>
      <c r="X14" s="6"/>
      <c r="Y14" s="6"/>
      <c r="Z14" s="6"/>
    </row>
    <row r="15" spans="1:26" ht="21.75" customHeight="1">
      <c r="A15" s="490"/>
      <c r="B15" s="496"/>
      <c r="C15" s="34"/>
      <c r="D15" s="19"/>
      <c r="E15" s="11"/>
      <c r="F15" s="260">
        <f t="shared" si="0"/>
        <v>0</v>
      </c>
      <c r="G15" s="43"/>
      <c r="H15" s="18"/>
      <c r="I15" s="179">
        <f t="shared" si="1"/>
        <v>0</v>
      </c>
      <c r="J15" s="254"/>
      <c r="K15" s="254"/>
      <c r="L15" s="254"/>
      <c r="M15" s="254"/>
      <c r="N15" s="254"/>
      <c r="O15" s="254"/>
      <c r="P15" s="254"/>
      <c r="Q15" s="6"/>
      <c r="R15" s="6"/>
      <c r="S15" s="6"/>
      <c r="T15" s="6"/>
      <c r="U15" s="6"/>
      <c r="V15" s="6"/>
      <c r="W15" s="6"/>
      <c r="X15" s="6"/>
      <c r="Y15" s="6"/>
      <c r="Z15" s="6"/>
    </row>
    <row r="16" spans="1:26" ht="21.75" customHeight="1">
      <c r="A16" s="490"/>
      <c r="B16" s="496"/>
      <c r="C16" s="34"/>
      <c r="D16" s="19"/>
      <c r="E16" s="11"/>
      <c r="F16" s="260">
        <f t="shared" si="0"/>
        <v>0</v>
      </c>
      <c r="G16" s="43"/>
      <c r="H16" s="18"/>
      <c r="I16" s="179">
        <f t="shared" si="1"/>
        <v>0</v>
      </c>
      <c r="J16" s="254"/>
      <c r="K16" s="254"/>
      <c r="L16" s="254"/>
      <c r="M16" s="254"/>
      <c r="N16" s="254"/>
      <c r="O16" s="254"/>
      <c r="P16" s="254"/>
      <c r="Q16" s="6"/>
      <c r="R16" s="6"/>
      <c r="S16" s="6"/>
      <c r="T16" s="6"/>
      <c r="U16" s="6"/>
      <c r="V16" s="6"/>
      <c r="W16" s="6"/>
      <c r="X16" s="6"/>
      <c r="Y16" s="6"/>
      <c r="Z16" s="6"/>
    </row>
    <row r="17" spans="1:26" ht="21.75" customHeight="1">
      <c r="A17" s="490"/>
      <c r="B17" s="496"/>
      <c r="C17" s="34"/>
      <c r="D17" s="19"/>
      <c r="E17" s="11"/>
      <c r="F17" s="260">
        <f t="shared" si="0"/>
        <v>0</v>
      </c>
      <c r="G17" s="43"/>
      <c r="H17" s="18"/>
      <c r="I17" s="179">
        <f t="shared" si="1"/>
        <v>0</v>
      </c>
      <c r="J17" s="254"/>
      <c r="K17" s="254"/>
      <c r="L17" s="254"/>
      <c r="M17" s="254"/>
      <c r="N17" s="254"/>
      <c r="O17" s="254"/>
      <c r="P17" s="254"/>
      <c r="Q17" s="6"/>
      <c r="R17" s="6"/>
      <c r="S17" s="6"/>
      <c r="T17" s="6"/>
      <c r="U17" s="6"/>
      <c r="V17" s="6"/>
      <c r="W17" s="6"/>
      <c r="X17" s="6"/>
      <c r="Y17" s="6"/>
      <c r="Z17" s="6"/>
    </row>
    <row r="18" spans="1:26" ht="21.75" customHeight="1">
      <c r="A18" s="490"/>
      <c r="B18" s="496"/>
      <c r="C18" s="34"/>
      <c r="D18" s="19"/>
      <c r="E18" s="11"/>
      <c r="F18" s="260">
        <f t="shared" si="0"/>
        <v>0</v>
      </c>
      <c r="G18" s="43"/>
      <c r="H18" s="18"/>
      <c r="I18" s="179">
        <f t="shared" si="1"/>
        <v>0</v>
      </c>
      <c r="J18" s="254"/>
      <c r="K18" s="254"/>
      <c r="L18" s="254"/>
      <c r="M18" s="254"/>
      <c r="N18" s="254"/>
      <c r="O18" s="254"/>
      <c r="P18" s="254"/>
      <c r="Q18" s="6"/>
      <c r="R18" s="6"/>
      <c r="S18" s="6"/>
      <c r="T18" s="6"/>
      <c r="U18" s="6"/>
      <c r="V18" s="6"/>
      <c r="W18" s="6"/>
      <c r="X18" s="6"/>
      <c r="Y18" s="6"/>
      <c r="Z18" s="6"/>
    </row>
    <row r="19" spans="1:26" ht="21.75" customHeight="1">
      <c r="A19" s="490"/>
      <c r="B19" s="496"/>
      <c r="C19" s="34"/>
      <c r="D19" s="19"/>
      <c r="E19" s="11"/>
      <c r="F19" s="260">
        <f t="shared" si="0"/>
        <v>0</v>
      </c>
      <c r="G19" s="43"/>
      <c r="H19" s="18"/>
      <c r="I19" s="179">
        <f t="shared" si="1"/>
        <v>0</v>
      </c>
      <c r="J19" s="254"/>
      <c r="K19" s="254"/>
      <c r="L19" s="254"/>
      <c r="M19" s="254"/>
      <c r="N19" s="254"/>
      <c r="O19" s="254"/>
      <c r="P19" s="254"/>
      <c r="Q19" s="6"/>
      <c r="R19" s="6"/>
      <c r="S19" s="6"/>
      <c r="T19" s="6"/>
      <c r="U19" s="6"/>
      <c r="V19" s="6"/>
      <c r="W19" s="6"/>
      <c r="X19" s="6"/>
      <c r="Y19" s="6"/>
      <c r="Z19" s="6"/>
    </row>
    <row r="20" spans="1:26" ht="21.75" customHeight="1">
      <c r="A20" s="490"/>
      <c r="B20" s="496"/>
      <c r="C20" s="34"/>
      <c r="D20" s="19"/>
      <c r="E20" s="11"/>
      <c r="F20" s="260">
        <f t="shared" si="0"/>
        <v>0</v>
      </c>
      <c r="G20" s="43"/>
      <c r="H20" s="18"/>
      <c r="I20" s="179">
        <f t="shared" si="1"/>
        <v>0</v>
      </c>
      <c r="J20" s="254"/>
      <c r="K20" s="254"/>
      <c r="L20" s="254"/>
      <c r="M20" s="254"/>
      <c r="N20" s="254"/>
      <c r="O20" s="254"/>
      <c r="P20" s="254"/>
      <c r="Q20" s="6"/>
      <c r="R20" s="6"/>
      <c r="S20" s="6"/>
      <c r="T20" s="6"/>
      <c r="U20" s="6"/>
      <c r="V20" s="6"/>
      <c r="W20" s="6"/>
      <c r="X20" s="6"/>
      <c r="Y20" s="6"/>
      <c r="Z20" s="6"/>
    </row>
    <row r="21" spans="1:26" ht="21.75" customHeight="1">
      <c r="A21" s="490"/>
      <c r="B21" s="496"/>
      <c r="C21" s="34"/>
      <c r="D21" s="19"/>
      <c r="E21" s="11"/>
      <c r="F21" s="260">
        <f t="shared" si="0"/>
        <v>0</v>
      </c>
      <c r="G21" s="43"/>
      <c r="H21" s="18"/>
      <c r="I21" s="179">
        <f t="shared" si="1"/>
        <v>0</v>
      </c>
      <c r="J21" s="254"/>
      <c r="K21" s="254"/>
      <c r="L21" s="254"/>
      <c r="M21" s="254"/>
      <c r="N21" s="254"/>
      <c r="O21" s="254"/>
      <c r="P21" s="254"/>
      <c r="Q21" s="6"/>
      <c r="R21" s="6"/>
      <c r="S21" s="6"/>
      <c r="T21" s="6"/>
      <c r="U21" s="6"/>
      <c r="V21" s="6"/>
      <c r="W21" s="6"/>
      <c r="X21" s="6"/>
      <c r="Y21" s="6"/>
      <c r="Z21" s="6"/>
    </row>
    <row r="22" spans="1:26" ht="21.75" customHeight="1">
      <c r="A22" s="490"/>
      <c r="B22" s="496"/>
      <c r="C22" s="34"/>
      <c r="D22" s="19"/>
      <c r="E22" s="11"/>
      <c r="F22" s="260">
        <f t="shared" si="0"/>
        <v>0</v>
      </c>
      <c r="G22" s="43"/>
      <c r="H22" s="18"/>
      <c r="I22" s="179">
        <f t="shared" si="1"/>
        <v>0</v>
      </c>
      <c r="J22" s="254"/>
      <c r="K22" s="254"/>
      <c r="L22" s="254"/>
      <c r="M22" s="254"/>
      <c r="N22" s="254"/>
      <c r="O22" s="254"/>
      <c r="P22" s="254"/>
      <c r="Q22" s="6"/>
      <c r="R22" s="6"/>
      <c r="S22" s="6"/>
      <c r="T22" s="6"/>
      <c r="U22" s="6"/>
      <c r="V22" s="6"/>
      <c r="W22" s="6"/>
      <c r="X22" s="6"/>
      <c r="Y22" s="6"/>
      <c r="Z22" s="6"/>
    </row>
    <row r="23" spans="1:26" ht="21.75" customHeight="1">
      <c r="A23" s="490"/>
      <c r="B23" s="496"/>
      <c r="C23" s="34"/>
      <c r="D23" s="19"/>
      <c r="E23" s="11"/>
      <c r="F23" s="260">
        <f t="shared" si="0"/>
        <v>0</v>
      </c>
      <c r="G23" s="43"/>
      <c r="H23" s="18"/>
      <c r="I23" s="179">
        <f t="shared" si="1"/>
        <v>0</v>
      </c>
      <c r="J23" s="254"/>
      <c r="K23" s="254"/>
      <c r="L23" s="254"/>
      <c r="M23" s="254"/>
      <c r="N23" s="254"/>
      <c r="O23" s="254"/>
      <c r="P23" s="254"/>
      <c r="Q23" s="6"/>
      <c r="R23" s="6"/>
      <c r="S23" s="6"/>
      <c r="T23" s="6"/>
      <c r="U23" s="6"/>
      <c r="V23" s="6"/>
      <c r="W23" s="6"/>
      <c r="X23" s="6"/>
      <c r="Y23" s="6"/>
      <c r="Z23" s="6"/>
    </row>
    <row r="24" spans="1:26" ht="21.75" customHeight="1">
      <c r="A24" s="487"/>
      <c r="B24" s="495"/>
      <c r="C24" s="34"/>
      <c r="D24" s="19"/>
      <c r="E24" s="11"/>
      <c r="F24" s="260">
        <f t="shared" si="0"/>
        <v>0</v>
      </c>
      <c r="G24" s="43"/>
      <c r="H24" s="18"/>
      <c r="I24" s="179">
        <f t="shared" si="1"/>
        <v>0</v>
      </c>
      <c r="J24" s="254"/>
      <c r="K24" s="254"/>
      <c r="L24" s="254"/>
      <c r="M24" s="254"/>
      <c r="N24" s="254"/>
      <c r="O24" s="254"/>
      <c r="P24" s="254"/>
      <c r="Q24" s="6"/>
      <c r="R24" s="6"/>
      <c r="S24" s="6"/>
      <c r="T24" s="6"/>
      <c r="U24" s="6"/>
      <c r="V24" s="6"/>
      <c r="W24" s="6"/>
      <c r="X24" s="6"/>
      <c r="Y24" s="6"/>
      <c r="Z24" s="6"/>
    </row>
    <row r="25" spans="1:26" ht="21.75" customHeight="1">
      <c r="A25" s="487"/>
      <c r="B25" s="495"/>
      <c r="C25" s="34"/>
      <c r="D25" s="19"/>
      <c r="E25" s="11"/>
      <c r="F25" s="260">
        <f t="shared" si="0"/>
        <v>0</v>
      </c>
      <c r="G25" s="43"/>
      <c r="H25" s="18"/>
      <c r="I25" s="179">
        <f t="shared" si="1"/>
        <v>0</v>
      </c>
      <c r="J25" s="254"/>
      <c r="K25" s="254"/>
      <c r="L25" s="254"/>
      <c r="M25" s="254"/>
      <c r="N25" s="254"/>
      <c r="O25" s="254"/>
      <c r="P25" s="254"/>
      <c r="Q25" s="6"/>
      <c r="R25" s="6"/>
      <c r="S25" s="6"/>
      <c r="T25" s="6"/>
      <c r="U25" s="6"/>
      <c r="V25" s="6"/>
      <c r="W25" s="6"/>
      <c r="X25" s="6"/>
      <c r="Y25" s="6"/>
      <c r="Z25" s="6"/>
    </row>
    <row r="26" spans="1:26" ht="21.75" customHeight="1">
      <c r="A26" s="487"/>
      <c r="B26" s="495"/>
      <c r="C26" s="34"/>
      <c r="D26" s="19"/>
      <c r="E26" s="11"/>
      <c r="F26" s="260">
        <f t="shared" si="0"/>
        <v>0</v>
      </c>
      <c r="G26" s="43"/>
      <c r="H26" s="18"/>
      <c r="I26" s="179">
        <f t="shared" si="1"/>
        <v>0</v>
      </c>
      <c r="J26" s="254"/>
      <c r="K26" s="254"/>
      <c r="L26" s="254"/>
      <c r="M26" s="254"/>
      <c r="N26" s="254"/>
      <c r="O26" s="254"/>
      <c r="P26" s="254"/>
      <c r="Q26" s="6"/>
      <c r="R26" s="6"/>
      <c r="S26" s="6"/>
      <c r="T26" s="6"/>
      <c r="U26" s="6"/>
      <c r="V26" s="6"/>
      <c r="W26" s="6"/>
      <c r="X26" s="6"/>
      <c r="Y26" s="6"/>
      <c r="Z26" s="6"/>
    </row>
    <row r="27" spans="1:26" ht="21.75" customHeight="1">
      <c r="A27" s="487"/>
      <c r="B27" s="495"/>
      <c r="C27" s="34"/>
      <c r="D27" s="19"/>
      <c r="E27" s="11"/>
      <c r="F27" s="260">
        <f t="shared" si="0"/>
        <v>0</v>
      </c>
      <c r="G27" s="43"/>
      <c r="H27" s="18"/>
      <c r="I27" s="179">
        <f t="shared" si="1"/>
        <v>0</v>
      </c>
      <c r="J27" s="254"/>
      <c r="K27" s="254"/>
      <c r="L27" s="254"/>
      <c r="M27" s="254"/>
      <c r="N27" s="254"/>
      <c r="O27" s="254"/>
      <c r="P27" s="254"/>
      <c r="Q27" s="6"/>
      <c r="R27" s="6"/>
      <c r="S27" s="6"/>
      <c r="T27" s="6"/>
      <c r="U27" s="6"/>
      <c r="V27" s="6"/>
      <c r="W27" s="6"/>
      <c r="X27" s="6"/>
      <c r="Y27" s="6"/>
      <c r="Z27" s="6"/>
    </row>
    <row r="28" spans="1:26" ht="21.75" customHeight="1">
      <c r="A28" s="487"/>
      <c r="B28" s="495"/>
      <c r="C28" s="34"/>
      <c r="D28" s="19"/>
      <c r="E28" s="11"/>
      <c r="F28" s="260">
        <f t="shared" si="0"/>
        <v>0</v>
      </c>
      <c r="G28" s="43"/>
      <c r="H28" s="18"/>
      <c r="I28" s="179">
        <f t="shared" si="1"/>
        <v>0</v>
      </c>
      <c r="J28" s="254"/>
      <c r="K28" s="254"/>
      <c r="L28" s="254"/>
      <c r="M28" s="254"/>
      <c r="N28" s="254"/>
      <c r="O28" s="254"/>
      <c r="P28" s="254"/>
      <c r="Q28" s="6"/>
      <c r="R28" s="6"/>
      <c r="S28" s="6"/>
      <c r="T28" s="6"/>
      <c r="U28" s="6"/>
      <c r="V28" s="6"/>
      <c r="W28" s="6"/>
      <c r="X28" s="6"/>
      <c r="Y28" s="6"/>
      <c r="Z28" s="6"/>
    </row>
    <row r="29" spans="1:26" ht="21.75" customHeight="1">
      <c r="A29" s="487"/>
      <c r="B29" s="495"/>
      <c r="C29" s="34"/>
      <c r="D29" s="19"/>
      <c r="E29" s="11"/>
      <c r="F29" s="260">
        <f t="shared" si="0"/>
        <v>0</v>
      </c>
      <c r="G29" s="43"/>
      <c r="H29" s="18"/>
      <c r="I29" s="179">
        <f t="shared" si="1"/>
        <v>0</v>
      </c>
      <c r="J29" s="254"/>
      <c r="K29" s="254"/>
      <c r="L29" s="254"/>
      <c r="M29" s="254"/>
      <c r="N29" s="254"/>
      <c r="O29" s="254"/>
      <c r="P29" s="254"/>
      <c r="Q29" s="6"/>
      <c r="R29" s="6"/>
      <c r="S29" s="6"/>
      <c r="T29" s="6"/>
      <c r="U29" s="6"/>
      <c r="V29" s="6"/>
      <c r="W29" s="6"/>
      <c r="X29" s="6"/>
      <c r="Y29" s="6"/>
      <c r="Z29" s="6"/>
    </row>
    <row r="30" spans="1:26" ht="21.75" customHeight="1">
      <c r="A30" s="487"/>
      <c r="B30" s="495"/>
      <c r="C30" s="34"/>
      <c r="D30" s="19"/>
      <c r="E30" s="11"/>
      <c r="F30" s="263">
        <f t="shared" si="0"/>
        <v>0</v>
      </c>
      <c r="G30" s="34"/>
      <c r="H30" s="22"/>
      <c r="I30" s="182">
        <f t="shared" si="1"/>
        <v>0</v>
      </c>
      <c r="J30" s="254"/>
      <c r="K30" s="254"/>
      <c r="L30" s="254"/>
      <c r="M30" s="254"/>
      <c r="N30" s="254"/>
      <c r="O30" s="254"/>
      <c r="P30" s="254"/>
      <c r="Q30" s="6"/>
      <c r="R30" s="6"/>
      <c r="S30" s="6"/>
      <c r="T30" s="6"/>
      <c r="U30" s="6"/>
      <c r="V30" s="6"/>
      <c r="W30" s="6"/>
      <c r="X30" s="6"/>
      <c r="Y30" s="6"/>
      <c r="Z30" s="6"/>
    </row>
    <row r="31" spans="1:26" ht="15.75" customHeight="1" thickBot="1">
      <c r="A31" s="23"/>
      <c r="B31" s="24"/>
      <c r="C31" s="467" t="s">
        <v>122</v>
      </c>
      <c r="D31" s="468"/>
      <c r="E31" s="468"/>
      <c r="F31" s="25">
        <f>SUM(F6:F30)</f>
        <v>0</v>
      </c>
      <c r="G31" s="467" t="s">
        <v>123</v>
      </c>
      <c r="H31" s="468"/>
      <c r="I31" s="25">
        <f>SUM(I6:I30)</f>
        <v>0</v>
      </c>
      <c r="J31" s="255"/>
      <c r="K31" s="255"/>
      <c r="L31" s="255"/>
      <c r="M31" s="255"/>
      <c r="N31" s="255"/>
      <c r="O31" s="255"/>
      <c r="P31" s="255"/>
      <c r="Q31" s="7"/>
      <c r="R31" s="7"/>
      <c r="S31" s="7"/>
      <c r="T31" s="7"/>
      <c r="U31" s="7"/>
      <c r="V31" s="7"/>
      <c r="W31" s="7"/>
      <c r="X31" s="7"/>
      <c r="Y31" s="7"/>
      <c r="Z31" s="7"/>
    </row>
    <row r="32" spans="1:26" ht="19.5" customHeight="1" thickBot="1">
      <c r="A32" s="469" t="s">
        <v>125</v>
      </c>
      <c r="B32" s="470"/>
      <c r="C32" s="470"/>
      <c r="D32" s="470"/>
      <c r="E32" s="470"/>
      <c r="F32" s="470"/>
      <c r="G32" s="470"/>
      <c r="H32" s="470"/>
      <c r="I32" s="26">
        <f>SUM(I31,F31)</f>
        <v>0</v>
      </c>
      <c r="J32" s="255"/>
      <c r="K32" s="255"/>
      <c r="L32" s="255"/>
      <c r="M32" s="255"/>
      <c r="N32" s="255"/>
      <c r="O32" s="255"/>
      <c r="P32" s="255"/>
      <c r="Q32" s="7"/>
      <c r="R32" s="7"/>
      <c r="S32" s="7"/>
      <c r="T32" s="7"/>
      <c r="U32" s="7"/>
      <c r="V32" s="7"/>
      <c r="W32" s="7"/>
      <c r="X32" s="7"/>
      <c r="Y32" s="7"/>
      <c r="Z32" s="7"/>
    </row>
    <row r="33" spans="1:26" ht="36" customHeight="1" thickBot="1">
      <c r="A33" s="477" t="s">
        <v>206</v>
      </c>
      <c r="B33" s="478"/>
      <c r="C33" s="478"/>
      <c r="D33" s="478"/>
      <c r="E33" s="478"/>
      <c r="F33" s="478"/>
      <c r="G33" s="478"/>
      <c r="H33" s="478"/>
      <c r="I33" s="479"/>
      <c r="J33" s="255"/>
      <c r="K33" s="255"/>
      <c r="L33" s="255"/>
      <c r="M33" s="255"/>
      <c r="N33" s="255"/>
      <c r="O33" s="255"/>
      <c r="P33" s="255"/>
      <c r="Q33" s="7"/>
      <c r="R33" s="7"/>
      <c r="S33" s="7"/>
      <c r="T33" s="7"/>
      <c r="U33" s="7"/>
      <c r="V33" s="7"/>
      <c r="W33" s="7"/>
      <c r="X33" s="7"/>
      <c r="Y33" s="7"/>
      <c r="Z33" s="7"/>
    </row>
    <row r="34" spans="1:26" ht="15.5">
      <c r="A34" s="452" t="s">
        <v>93</v>
      </c>
      <c r="B34" s="453"/>
      <c r="C34" s="390" t="s">
        <v>91</v>
      </c>
      <c r="D34" s="382"/>
      <c r="E34" s="382"/>
      <c r="F34" s="383"/>
      <c r="G34" s="381" t="s">
        <v>92</v>
      </c>
      <c r="H34" s="382"/>
      <c r="I34" s="383"/>
      <c r="J34" s="256"/>
      <c r="K34" s="256"/>
      <c r="L34" s="256"/>
      <c r="M34" s="256"/>
      <c r="N34" s="256"/>
      <c r="O34" s="256"/>
      <c r="P34" s="256"/>
      <c r="Q34" s="8"/>
      <c r="R34" s="8"/>
      <c r="S34" s="8"/>
      <c r="T34" s="8"/>
      <c r="U34" s="8"/>
      <c r="V34" s="8"/>
      <c r="W34" s="8"/>
      <c r="X34" s="8"/>
      <c r="Y34" s="8"/>
      <c r="Z34" s="8"/>
    </row>
    <row r="35" spans="1:26" ht="15.75" customHeight="1" thickBot="1">
      <c r="A35" s="454"/>
      <c r="B35" s="455"/>
      <c r="C35" s="37" t="s">
        <v>129</v>
      </c>
      <c r="D35" s="27" t="s">
        <v>95</v>
      </c>
      <c r="E35" s="28" t="s">
        <v>61</v>
      </c>
      <c r="F35" s="38" t="s">
        <v>79</v>
      </c>
      <c r="G35" s="44" t="s">
        <v>96</v>
      </c>
      <c r="H35" s="30" t="s">
        <v>85</v>
      </c>
      <c r="I35" s="31" t="s">
        <v>79</v>
      </c>
      <c r="J35" s="256"/>
      <c r="K35" s="256"/>
      <c r="L35" s="256"/>
      <c r="M35" s="256"/>
      <c r="N35" s="256"/>
      <c r="O35" s="256"/>
      <c r="P35" s="256"/>
      <c r="Q35" s="8"/>
      <c r="R35" s="8"/>
      <c r="S35" s="8"/>
      <c r="T35" s="8"/>
      <c r="U35" s="8"/>
      <c r="V35" s="8"/>
      <c r="W35" s="8"/>
      <c r="X35" s="8"/>
      <c r="Y35" s="8"/>
      <c r="Z35" s="8"/>
    </row>
    <row r="36" spans="1:26" ht="21.75" customHeight="1">
      <c r="A36" s="489"/>
      <c r="B36" s="488"/>
      <c r="C36" s="39">
        <v>1</v>
      </c>
      <c r="D36" s="20"/>
      <c r="E36" s="12">
        <v>0</v>
      </c>
      <c r="F36" s="40">
        <f t="shared" ref="F36:F48" si="2">C36*E36</f>
        <v>0</v>
      </c>
      <c r="G36" s="45">
        <v>1</v>
      </c>
      <c r="H36" s="12">
        <v>0</v>
      </c>
      <c r="I36" s="264">
        <f>G36*H36</f>
        <v>0</v>
      </c>
      <c r="J36" s="252"/>
      <c r="K36" s="252"/>
      <c r="L36" s="252"/>
      <c r="M36" s="252"/>
      <c r="N36" s="252"/>
      <c r="O36" s="252"/>
      <c r="P36" s="252"/>
    </row>
    <row r="37" spans="1:26" ht="21.75" customHeight="1">
      <c r="A37" s="489"/>
      <c r="B37" s="488"/>
      <c r="C37" s="39"/>
      <c r="D37" s="20"/>
      <c r="E37" s="12"/>
      <c r="F37" s="40">
        <f t="shared" si="2"/>
        <v>0</v>
      </c>
      <c r="G37" s="45"/>
      <c r="H37" s="12"/>
      <c r="I37" s="206">
        <f t="shared" ref="I37:I48" si="3">G37*H37</f>
        <v>0</v>
      </c>
      <c r="J37" s="252"/>
      <c r="K37" s="252"/>
      <c r="L37" s="252"/>
      <c r="M37" s="252"/>
      <c r="N37" s="252"/>
      <c r="O37" s="252"/>
      <c r="P37" s="252"/>
    </row>
    <row r="38" spans="1:26" ht="21.75" customHeight="1">
      <c r="A38" s="489"/>
      <c r="B38" s="488"/>
      <c r="C38" s="39"/>
      <c r="D38" s="20"/>
      <c r="E38" s="12"/>
      <c r="F38" s="40">
        <f t="shared" si="2"/>
        <v>0</v>
      </c>
      <c r="G38" s="45"/>
      <c r="H38" s="12"/>
      <c r="I38" s="206">
        <f t="shared" si="3"/>
        <v>0</v>
      </c>
      <c r="J38" s="252"/>
      <c r="K38" s="252"/>
      <c r="L38" s="252"/>
      <c r="M38" s="252"/>
      <c r="N38" s="252"/>
      <c r="O38" s="252"/>
      <c r="P38" s="252"/>
    </row>
    <row r="39" spans="1:26" ht="21.75" customHeight="1">
      <c r="A39" s="489"/>
      <c r="B39" s="488"/>
      <c r="C39" s="39"/>
      <c r="D39" s="20"/>
      <c r="E39" s="12"/>
      <c r="F39" s="40">
        <f t="shared" si="2"/>
        <v>0</v>
      </c>
      <c r="G39" s="45"/>
      <c r="H39" s="12"/>
      <c r="I39" s="206">
        <f t="shared" si="3"/>
        <v>0</v>
      </c>
      <c r="J39" s="252"/>
      <c r="K39" s="252"/>
      <c r="L39" s="252"/>
      <c r="M39" s="252"/>
      <c r="N39" s="252"/>
      <c r="O39" s="252"/>
      <c r="P39" s="252"/>
    </row>
    <row r="40" spans="1:26" ht="21.75" customHeight="1">
      <c r="A40" s="489"/>
      <c r="B40" s="488"/>
      <c r="C40" s="39"/>
      <c r="D40" s="20"/>
      <c r="E40" s="12"/>
      <c r="F40" s="40">
        <f t="shared" si="2"/>
        <v>0</v>
      </c>
      <c r="G40" s="45"/>
      <c r="H40" s="12"/>
      <c r="I40" s="206">
        <f t="shared" si="3"/>
        <v>0</v>
      </c>
      <c r="J40" s="252"/>
      <c r="K40" s="252"/>
      <c r="L40" s="252"/>
      <c r="M40" s="252"/>
      <c r="N40" s="252"/>
      <c r="O40" s="252"/>
      <c r="P40" s="252"/>
    </row>
    <row r="41" spans="1:26" ht="21.75" customHeight="1">
      <c r="A41" s="489"/>
      <c r="B41" s="488"/>
      <c r="C41" s="39"/>
      <c r="D41" s="20"/>
      <c r="E41" s="12"/>
      <c r="F41" s="40">
        <f t="shared" si="2"/>
        <v>0</v>
      </c>
      <c r="G41" s="45"/>
      <c r="H41" s="12"/>
      <c r="I41" s="206">
        <f t="shared" si="3"/>
        <v>0</v>
      </c>
      <c r="J41" s="252"/>
      <c r="K41" s="252"/>
      <c r="L41" s="252"/>
      <c r="M41" s="252"/>
      <c r="N41" s="252"/>
      <c r="O41" s="252"/>
      <c r="P41" s="252"/>
    </row>
    <row r="42" spans="1:26" ht="21.75" customHeight="1">
      <c r="A42" s="489"/>
      <c r="B42" s="488"/>
      <c r="C42" s="39"/>
      <c r="D42" s="20"/>
      <c r="E42" s="12"/>
      <c r="F42" s="40">
        <f t="shared" si="2"/>
        <v>0</v>
      </c>
      <c r="G42" s="45"/>
      <c r="H42" s="12"/>
      <c r="I42" s="206">
        <f t="shared" si="3"/>
        <v>0</v>
      </c>
      <c r="J42" s="252"/>
      <c r="K42" s="252"/>
      <c r="L42" s="252"/>
      <c r="M42" s="252"/>
      <c r="N42" s="252"/>
      <c r="O42" s="252"/>
      <c r="P42" s="252"/>
    </row>
    <row r="43" spans="1:26" ht="21.75" customHeight="1">
      <c r="A43" s="489"/>
      <c r="B43" s="488"/>
      <c r="C43" s="39"/>
      <c r="D43" s="20"/>
      <c r="E43" s="12"/>
      <c r="F43" s="40">
        <f t="shared" si="2"/>
        <v>0</v>
      </c>
      <c r="G43" s="45"/>
      <c r="H43" s="12"/>
      <c r="I43" s="206">
        <f t="shared" si="3"/>
        <v>0</v>
      </c>
      <c r="J43" s="252"/>
      <c r="K43" s="252"/>
      <c r="L43" s="252"/>
      <c r="M43" s="252"/>
      <c r="N43" s="252"/>
      <c r="O43" s="252"/>
      <c r="P43" s="252"/>
    </row>
    <row r="44" spans="1:26" ht="21.75" customHeight="1">
      <c r="A44" s="489"/>
      <c r="B44" s="488"/>
      <c r="C44" s="39"/>
      <c r="D44" s="20"/>
      <c r="E44" s="12"/>
      <c r="F44" s="40">
        <f t="shared" si="2"/>
        <v>0</v>
      </c>
      <c r="G44" s="45"/>
      <c r="H44" s="12"/>
      <c r="I44" s="206">
        <f t="shared" si="3"/>
        <v>0</v>
      </c>
      <c r="J44" s="252"/>
      <c r="K44" s="252"/>
      <c r="L44" s="252"/>
      <c r="M44" s="252"/>
      <c r="N44" s="252"/>
      <c r="O44" s="252"/>
      <c r="P44" s="252"/>
    </row>
    <row r="45" spans="1:26" ht="21.75" customHeight="1">
      <c r="A45" s="489"/>
      <c r="B45" s="488"/>
      <c r="C45" s="39"/>
      <c r="D45" s="20"/>
      <c r="E45" s="12"/>
      <c r="F45" s="40">
        <f t="shared" si="2"/>
        <v>0</v>
      </c>
      <c r="G45" s="45"/>
      <c r="H45" s="12"/>
      <c r="I45" s="206">
        <f t="shared" si="3"/>
        <v>0</v>
      </c>
      <c r="J45" s="252"/>
      <c r="K45" s="252"/>
      <c r="L45" s="252"/>
      <c r="M45" s="252"/>
      <c r="N45" s="252"/>
      <c r="O45" s="252"/>
      <c r="P45" s="252"/>
    </row>
    <row r="46" spans="1:26" ht="21.75" customHeight="1">
      <c r="A46" s="489"/>
      <c r="B46" s="488"/>
      <c r="C46" s="39"/>
      <c r="D46" s="20"/>
      <c r="E46" s="12"/>
      <c r="F46" s="40">
        <f t="shared" si="2"/>
        <v>0</v>
      </c>
      <c r="G46" s="45"/>
      <c r="H46" s="12"/>
      <c r="I46" s="206">
        <f t="shared" si="3"/>
        <v>0</v>
      </c>
      <c r="J46" s="252"/>
      <c r="K46" s="252"/>
      <c r="L46" s="252"/>
      <c r="M46" s="252"/>
      <c r="N46" s="252"/>
      <c r="O46" s="252"/>
      <c r="P46" s="252"/>
    </row>
    <row r="47" spans="1:26" ht="21.75" customHeight="1">
      <c r="A47" s="489"/>
      <c r="B47" s="488"/>
      <c r="C47" s="39"/>
      <c r="D47" s="20"/>
      <c r="E47" s="12"/>
      <c r="F47" s="40">
        <f t="shared" si="2"/>
        <v>0</v>
      </c>
      <c r="G47" s="45"/>
      <c r="H47" s="12"/>
      <c r="I47" s="206">
        <f t="shared" si="3"/>
        <v>0</v>
      </c>
      <c r="J47" s="252"/>
      <c r="K47" s="252"/>
      <c r="L47" s="252"/>
      <c r="M47" s="252"/>
      <c r="N47" s="252"/>
      <c r="O47" s="252"/>
      <c r="P47" s="252"/>
    </row>
    <row r="48" spans="1:26" ht="21.75" customHeight="1">
      <c r="A48" s="489"/>
      <c r="B48" s="488"/>
      <c r="C48" s="39"/>
      <c r="D48" s="20"/>
      <c r="E48" s="12"/>
      <c r="F48" s="40">
        <f t="shared" si="2"/>
        <v>0</v>
      </c>
      <c r="G48" s="45"/>
      <c r="H48" s="12"/>
      <c r="I48" s="206">
        <f t="shared" si="3"/>
        <v>0</v>
      </c>
      <c r="J48" s="252"/>
      <c r="K48" s="252"/>
      <c r="L48" s="252"/>
      <c r="M48" s="252"/>
      <c r="N48" s="252"/>
      <c r="O48" s="252"/>
      <c r="P48" s="252"/>
    </row>
    <row r="49" spans="1:16" ht="15.75" customHeight="1" thickBot="1">
      <c r="A49" s="46"/>
      <c r="B49" s="47"/>
      <c r="C49" s="473" t="s">
        <v>122</v>
      </c>
      <c r="D49" s="474"/>
      <c r="E49" s="475"/>
      <c r="F49" s="266">
        <f>SUM(F36:F48)</f>
        <v>0</v>
      </c>
      <c r="G49" s="473" t="s">
        <v>123</v>
      </c>
      <c r="H49" s="475"/>
      <c r="I49" s="266">
        <f>SUM(I36:I48)</f>
        <v>0</v>
      </c>
      <c r="J49" s="252"/>
      <c r="K49" s="252"/>
      <c r="L49" s="252"/>
      <c r="M49" s="252"/>
      <c r="N49" s="252"/>
      <c r="O49" s="252"/>
      <c r="P49" s="252"/>
    </row>
    <row r="50" spans="1:16" ht="20.149999999999999" customHeight="1" thickBot="1">
      <c r="A50" s="469" t="s">
        <v>124</v>
      </c>
      <c r="B50" s="470"/>
      <c r="C50" s="470"/>
      <c r="D50" s="470"/>
      <c r="E50" s="470"/>
      <c r="F50" s="470"/>
      <c r="G50" s="470"/>
      <c r="H50" s="470"/>
      <c r="I50" s="267">
        <f>SUM(I49,F49)</f>
        <v>0</v>
      </c>
      <c r="J50" s="252"/>
      <c r="K50" s="252"/>
      <c r="L50" s="252"/>
      <c r="M50" s="252"/>
      <c r="N50" s="252"/>
      <c r="O50" s="252"/>
      <c r="P50" s="252"/>
    </row>
    <row r="51" spans="1:16" ht="15.75" customHeight="1">
      <c r="A51" s="252"/>
      <c r="B51" s="252"/>
      <c r="C51" s="252"/>
      <c r="D51" s="252"/>
      <c r="E51" s="257"/>
      <c r="F51" s="252"/>
      <c r="G51" s="252"/>
      <c r="H51" s="252"/>
      <c r="I51" s="252"/>
      <c r="J51" s="252"/>
      <c r="K51" s="252"/>
      <c r="L51" s="252"/>
      <c r="M51" s="252"/>
      <c r="N51" s="252"/>
      <c r="O51" s="252"/>
      <c r="P51" s="252"/>
    </row>
    <row r="52" spans="1:16" ht="15.75" customHeight="1">
      <c r="A52" s="252"/>
      <c r="B52" s="252"/>
      <c r="C52" s="252"/>
      <c r="D52" s="252"/>
      <c r="E52" s="257"/>
      <c r="F52" s="252"/>
      <c r="G52" s="252"/>
      <c r="H52" s="252"/>
      <c r="I52" s="252"/>
      <c r="J52" s="252"/>
      <c r="K52" s="252"/>
      <c r="L52" s="252"/>
      <c r="M52" s="252"/>
      <c r="N52" s="252"/>
      <c r="O52" s="252"/>
      <c r="P52" s="252"/>
    </row>
    <row r="53" spans="1:16" ht="15.75" customHeight="1">
      <c r="A53" s="252"/>
      <c r="B53" s="252"/>
      <c r="C53" s="252"/>
      <c r="D53" s="252"/>
      <c r="E53" s="257"/>
      <c r="F53" s="252"/>
      <c r="G53" s="252"/>
      <c r="H53" s="252"/>
      <c r="I53" s="252"/>
      <c r="J53" s="252"/>
      <c r="K53" s="252"/>
      <c r="L53" s="252"/>
      <c r="M53" s="252"/>
      <c r="N53" s="252"/>
      <c r="O53" s="252"/>
      <c r="P53" s="252"/>
    </row>
    <row r="54" spans="1:16" ht="15.75" customHeight="1">
      <c r="A54" s="252"/>
      <c r="B54" s="252"/>
      <c r="C54" s="252"/>
      <c r="D54" s="252"/>
      <c r="E54" s="257"/>
      <c r="F54" s="252"/>
      <c r="G54" s="252"/>
      <c r="H54" s="252"/>
      <c r="I54" s="252"/>
      <c r="J54" s="252"/>
      <c r="K54" s="252"/>
      <c r="L54" s="252"/>
      <c r="M54" s="252"/>
      <c r="N54" s="252"/>
      <c r="O54" s="252"/>
      <c r="P54" s="252"/>
    </row>
    <row r="55" spans="1:16" ht="15.75" customHeight="1">
      <c r="A55" s="252"/>
      <c r="B55" s="252"/>
      <c r="C55" s="252"/>
      <c r="D55" s="252"/>
      <c r="E55" s="257"/>
      <c r="F55" s="252"/>
      <c r="G55" s="252"/>
      <c r="H55" s="252"/>
      <c r="I55" s="252"/>
      <c r="J55" s="252"/>
      <c r="K55" s="252"/>
      <c r="L55" s="252"/>
      <c r="M55" s="252"/>
      <c r="N55" s="252"/>
      <c r="O55" s="252"/>
      <c r="P55" s="252"/>
    </row>
    <row r="56" spans="1:16" ht="15.75" customHeight="1">
      <c r="A56" s="252"/>
      <c r="B56" s="252"/>
      <c r="C56" s="252"/>
      <c r="D56" s="252"/>
      <c r="E56" s="257"/>
      <c r="F56" s="252"/>
      <c r="G56" s="252"/>
      <c r="H56" s="252"/>
      <c r="I56" s="252"/>
      <c r="J56" s="252"/>
      <c r="K56" s="252"/>
      <c r="L56" s="252"/>
      <c r="M56" s="252"/>
      <c r="N56" s="252"/>
      <c r="O56" s="252"/>
      <c r="P56" s="252"/>
    </row>
    <row r="57" spans="1:16" ht="15.75" customHeight="1">
      <c r="A57" s="252"/>
      <c r="B57" s="252"/>
      <c r="C57" s="252"/>
      <c r="D57" s="252"/>
      <c r="E57" s="257"/>
      <c r="F57" s="252"/>
      <c r="G57" s="252"/>
      <c r="H57" s="252"/>
      <c r="I57" s="252"/>
      <c r="J57" s="252"/>
      <c r="K57" s="252"/>
      <c r="L57" s="252"/>
      <c r="M57" s="252"/>
      <c r="N57" s="252"/>
      <c r="O57" s="252"/>
      <c r="P57" s="252"/>
    </row>
    <row r="58" spans="1:16" ht="15.75" customHeight="1">
      <c r="A58" s="252"/>
      <c r="B58" s="252"/>
      <c r="C58" s="252"/>
      <c r="D58" s="252"/>
      <c r="E58" s="257"/>
      <c r="F58" s="252"/>
      <c r="G58" s="252"/>
      <c r="H58" s="252"/>
      <c r="I58" s="252"/>
      <c r="J58" s="252"/>
      <c r="K58" s="252"/>
      <c r="L58" s="252"/>
      <c r="M58" s="252"/>
      <c r="N58" s="252"/>
      <c r="O58" s="252"/>
      <c r="P58" s="252"/>
    </row>
    <row r="59" spans="1:16" ht="15.75" customHeight="1">
      <c r="A59" s="252"/>
      <c r="B59" s="252"/>
      <c r="C59" s="252"/>
      <c r="D59" s="252"/>
      <c r="E59" s="257"/>
      <c r="F59" s="252"/>
      <c r="G59" s="252"/>
      <c r="H59" s="252"/>
      <c r="I59" s="252"/>
      <c r="J59" s="252"/>
      <c r="K59" s="252"/>
      <c r="L59" s="252"/>
      <c r="M59" s="252"/>
      <c r="N59" s="252"/>
      <c r="O59" s="252"/>
      <c r="P59" s="252"/>
    </row>
    <row r="60" spans="1:16" ht="15.75" customHeight="1">
      <c r="A60" s="252"/>
      <c r="B60" s="252"/>
      <c r="C60" s="252"/>
      <c r="D60" s="252"/>
      <c r="E60" s="257"/>
      <c r="F60" s="252"/>
      <c r="G60" s="252"/>
      <c r="H60" s="252"/>
      <c r="I60" s="252"/>
      <c r="J60" s="252"/>
      <c r="K60" s="252"/>
      <c r="L60" s="252"/>
      <c r="M60" s="252"/>
      <c r="N60" s="252"/>
      <c r="O60" s="252"/>
      <c r="P60" s="252"/>
    </row>
    <row r="61" spans="1:16" ht="15.75" customHeight="1">
      <c r="A61" s="252"/>
      <c r="B61" s="252"/>
      <c r="C61" s="252"/>
      <c r="D61" s="252"/>
      <c r="E61" s="257"/>
      <c r="F61" s="252"/>
      <c r="G61" s="252"/>
      <c r="H61" s="252"/>
      <c r="I61" s="252"/>
      <c r="J61" s="252"/>
      <c r="K61" s="252"/>
      <c r="L61" s="252"/>
      <c r="M61" s="252"/>
      <c r="N61" s="252"/>
      <c r="O61" s="252"/>
      <c r="P61" s="252"/>
    </row>
    <row r="62" spans="1:16" ht="15.75" customHeight="1">
      <c r="A62" s="252"/>
      <c r="B62" s="252"/>
      <c r="C62" s="252"/>
      <c r="D62" s="252"/>
      <c r="E62" s="257"/>
      <c r="F62" s="252"/>
      <c r="G62" s="252"/>
      <c r="H62" s="252"/>
      <c r="I62" s="252"/>
      <c r="J62" s="252"/>
      <c r="K62" s="252"/>
      <c r="L62" s="252"/>
      <c r="M62" s="252"/>
      <c r="N62" s="252"/>
      <c r="O62" s="252"/>
      <c r="P62" s="252"/>
    </row>
    <row r="63" spans="1:16" ht="15.75" customHeight="1">
      <c r="A63" s="252"/>
      <c r="B63" s="252"/>
      <c r="C63" s="252"/>
      <c r="D63" s="252"/>
      <c r="E63" s="257"/>
      <c r="F63" s="252"/>
      <c r="G63" s="252"/>
      <c r="H63" s="252"/>
      <c r="I63" s="252"/>
      <c r="J63" s="252"/>
      <c r="K63" s="252"/>
      <c r="L63" s="252"/>
      <c r="M63" s="252"/>
      <c r="N63" s="252"/>
      <c r="O63" s="252"/>
      <c r="P63" s="252"/>
    </row>
    <row r="64" spans="1:16" ht="15.75" customHeight="1">
      <c r="A64" s="252"/>
      <c r="B64" s="252"/>
      <c r="C64" s="252"/>
      <c r="D64" s="252"/>
      <c r="E64" s="257"/>
      <c r="F64" s="252"/>
      <c r="G64" s="252"/>
      <c r="H64" s="252"/>
      <c r="I64" s="252"/>
      <c r="J64" s="252"/>
      <c r="K64" s="252"/>
      <c r="L64" s="252"/>
      <c r="M64" s="252"/>
      <c r="N64" s="252"/>
      <c r="O64" s="252"/>
      <c r="P64" s="252"/>
    </row>
    <row r="65" spans="1:16" ht="15.75" customHeight="1">
      <c r="A65" s="252"/>
      <c r="B65" s="252"/>
      <c r="C65" s="252"/>
      <c r="D65" s="252"/>
      <c r="E65" s="257"/>
      <c r="F65" s="252"/>
      <c r="G65" s="252"/>
      <c r="H65" s="252"/>
      <c r="I65" s="252"/>
      <c r="J65" s="252"/>
      <c r="K65" s="252"/>
      <c r="L65" s="252"/>
      <c r="M65" s="252"/>
      <c r="N65" s="252"/>
      <c r="O65" s="252"/>
      <c r="P65" s="252"/>
    </row>
    <row r="66" spans="1:16" ht="15.75" customHeight="1">
      <c r="A66" s="252"/>
      <c r="B66" s="252"/>
      <c r="C66" s="252"/>
      <c r="D66" s="252"/>
      <c r="E66" s="257"/>
      <c r="F66" s="252"/>
      <c r="G66" s="252"/>
      <c r="H66" s="252"/>
      <c r="I66" s="252"/>
      <c r="J66" s="252"/>
      <c r="K66" s="252"/>
      <c r="L66" s="252"/>
      <c r="M66" s="252"/>
      <c r="N66" s="252"/>
      <c r="O66" s="252"/>
      <c r="P66" s="252"/>
    </row>
    <row r="67" spans="1:16" ht="15.75" customHeight="1">
      <c r="A67" s="252"/>
      <c r="B67" s="252"/>
      <c r="C67" s="252"/>
      <c r="D67" s="252"/>
      <c r="E67" s="257"/>
      <c r="F67" s="252"/>
      <c r="G67" s="252"/>
      <c r="H67" s="252"/>
      <c r="I67" s="252"/>
      <c r="J67" s="252"/>
      <c r="K67" s="252"/>
      <c r="L67" s="252"/>
      <c r="M67" s="252"/>
      <c r="N67" s="252"/>
      <c r="O67" s="252"/>
      <c r="P67" s="252"/>
    </row>
    <row r="68" spans="1:16" ht="15.75" customHeight="1">
      <c r="E68" s="9"/>
    </row>
    <row r="69" spans="1:16" ht="15.75" customHeight="1">
      <c r="E69" s="9"/>
    </row>
    <row r="70" spans="1:16" ht="15.75" customHeight="1">
      <c r="E70" s="9"/>
    </row>
    <row r="71" spans="1:16" ht="15.75" customHeight="1">
      <c r="E71" s="9"/>
    </row>
    <row r="72" spans="1:16" ht="15.75" customHeight="1">
      <c r="E72" s="9"/>
    </row>
    <row r="73" spans="1:16" ht="15.75" customHeight="1">
      <c r="E73" s="9"/>
    </row>
    <row r="74" spans="1:16" ht="15.75" customHeight="1">
      <c r="E74" s="9"/>
    </row>
    <row r="75" spans="1:16" ht="15.75" customHeight="1">
      <c r="E75" s="9"/>
    </row>
    <row r="76" spans="1:16" ht="15.75" customHeight="1">
      <c r="E76" s="9"/>
    </row>
    <row r="77" spans="1:16" ht="15.75" customHeight="1">
      <c r="E77" s="9"/>
    </row>
    <row r="78" spans="1:16" ht="15.75" customHeight="1">
      <c r="E78" s="9"/>
    </row>
    <row r="79" spans="1:16" ht="15.75" customHeight="1">
      <c r="E79" s="9"/>
    </row>
    <row r="80" spans="1:16"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row r="1004" spans="5:5" ht="15.75" customHeight="1">
      <c r="E1004" s="9"/>
    </row>
    <row r="1005" spans="5:5" ht="15.75" customHeight="1">
      <c r="E1005" s="9"/>
    </row>
    <row r="1006" spans="5:5" ht="15.75" customHeight="1">
      <c r="E1006" s="9"/>
    </row>
    <row r="1007" spans="5:5" ht="15.75" customHeight="1">
      <c r="E1007" s="9"/>
    </row>
    <row r="1008" spans="5:5" ht="15.75" customHeight="1">
      <c r="E1008" s="9"/>
    </row>
    <row r="1009" spans="5:5" ht="15.75" customHeight="1">
      <c r="E1009" s="9"/>
    </row>
    <row r="1010" spans="5:5" ht="15.75" customHeight="1">
      <c r="E1010" s="9"/>
    </row>
    <row r="1011" spans="5:5" ht="15.75" customHeight="1">
      <c r="E1011" s="9"/>
    </row>
    <row r="1012" spans="5:5" ht="15.75" customHeight="1">
      <c r="E1012" s="9"/>
    </row>
    <row r="1013" spans="5:5" ht="15.75" customHeight="1">
      <c r="E1013" s="9"/>
    </row>
    <row r="1014" spans="5:5" ht="15.75" customHeight="1">
      <c r="E1014" s="9"/>
    </row>
    <row r="1015" spans="5:5" ht="15.75" customHeight="1">
      <c r="E1015" s="9"/>
    </row>
  </sheetData>
  <mergeCells count="53">
    <mergeCell ref="A6:B6"/>
    <mergeCell ref="A1:F2"/>
    <mergeCell ref="A3:I3"/>
    <mergeCell ref="A4:B5"/>
    <mergeCell ref="C4:F4"/>
    <mergeCell ref="G4:I4"/>
    <mergeCell ref="A18:B18"/>
    <mergeCell ref="A7:B7"/>
    <mergeCell ref="A8:B8"/>
    <mergeCell ref="A9:B9"/>
    <mergeCell ref="A10:B10"/>
    <mergeCell ref="A11:B11"/>
    <mergeCell ref="A12:B12"/>
    <mergeCell ref="A13:B13"/>
    <mergeCell ref="A14:B14"/>
    <mergeCell ref="A15:B15"/>
    <mergeCell ref="A16:B16"/>
    <mergeCell ref="A17:B17"/>
    <mergeCell ref="A30:B30"/>
    <mergeCell ref="A19:B19"/>
    <mergeCell ref="A20:B20"/>
    <mergeCell ref="A21:B21"/>
    <mergeCell ref="A22:B22"/>
    <mergeCell ref="A23:B23"/>
    <mergeCell ref="A24:B24"/>
    <mergeCell ref="A25:B25"/>
    <mergeCell ref="A26:B26"/>
    <mergeCell ref="A27:B27"/>
    <mergeCell ref="A28:B28"/>
    <mergeCell ref="A29:B29"/>
    <mergeCell ref="A41:B41"/>
    <mergeCell ref="C31:E31"/>
    <mergeCell ref="G31:H31"/>
    <mergeCell ref="A32:H32"/>
    <mergeCell ref="A33:I33"/>
    <mergeCell ref="A34:B35"/>
    <mergeCell ref="C34:F34"/>
    <mergeCell ref="G34:I34"/>
    <mergeCell ref="A36:B36"/>
    <mergeCell ref="A37:B37"/>
    <mergeCell ref="A38:B38"/>
    <mergeCell ref="A39:B39"/>
    <mergeCell ref="A40:B40"/>
    <mergeCell ref="A48:B48"/>
    <mergeCell ref="C49:E49"/>
    <mergeCell ref="G49:H49"/>
    <mergeCell ref="A50:H50"/>
    <mergeCell ref="A42:B42"/>
    <mergeCell ref="A43:B43"/>
    <mergeCell ref="A44:B44"/>
    <mergeCell ref="A45:B45"/>
    <mergeCell ref="A46:B46"/>
    <mergeCell ref="A47:B47"/>
  </mergeCells>
  <conditionalFormatting sqref="G2:H2">
    <cfRule type="expression" dxfId="3" priority="1" stopIfTrue="1">
      <formula>"MM/DD/YY"</formula>
    </cfRule>
  </conditionalFormatting>
  <printOptions horizontalCentered="1"/>
  <pageMargins left="0.75" right="0.75" top="1" bottom="1" header="0" footer="0"/>
  <pageSetup scale="74" fitToHeight="0" orientation="portrait" r:id="rId1"/>
  <rowBreaks count="1" manualBreakCount="1">
    <brk id="32" max="16383" man="1"/>
  </rowBreaks>
  <drawing r:id="rId2"/>
  <legacyDrawing r:id="rId3"/>
  <controls>
    <mc:AlternateContent xmlns:mc="http://schemas.openxmlformats.org/markup-compatibility/2006">
      <mc:Choice Requires="x14">
        <control shapeId="26625" r:id="rId4" name="CommandButton1">
          <controlPr defaultSize="0" autoLine="0" altText="Add A Row Command Button" r:id="rId5">
            <anchor moveWithCells="1">
              <from>
                <xdr:col>9</xdr:col>
                <xdr:colOff>298450</xdr:colOff>
                <xdr:row>29</xdr:row>
                <xdr:rowOff>0</xdr:rowOff>
              </from>
              <to>
                <xdr:col>11</xdr:col>
                <xdr:colOff>425450</xdr:colOff>
                <xdr:row>30</xdr:row>
                <xdr:rowOff>12700</xdr:rowOff>
              </to>
            </anchor>
          </controlPr>
        </control>
      </mc:Choice>
      <mc:Fallback>
        <control shapeId="26625" r:id="rId4" name="CommandButton1"/>
      </mc:Fallback>
    </mc:AlternateContent>
  </control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61A46-FEC0-4572-BB90-77983DC3942E}">
  <sheetPr codeName="Sheet26">
    <pageSetUpPr fitToPage="1"/>
  </sheetPr>
  <dimension ref="A1:Z1003"/>
  <sheetViews>
    <sheetView topLeftCell="C6" zoomScaleNormal="100" workbookViewId="0">
      <selection activeCell="M16" sqref="M16"/>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207</v>
      </c>
      <c r="B1" s="387"/>
      <c r="C1" s="387"/>
      <c r="D1" s="387"/>
      <c r="E1" s="387"/>
      <c r="F1" s="387"/>
      <c r="G1" s="258" t="s">
        <v>165</v>
      </c>
      <c r="H1" s="259"/>
      <c r="I1" s="162" t="s">
        <v>166</v>
      </c>
      <c r="J1" s="252"/>
      <c r="K1" s="252"/>
      <c r="L1" s="252"/>
      <c r="M1" s="252"/>
      <c r="N1" s="252"/>
      <c r="O1" s="252"/>
    </row>
    <row r="2" spans="1:26" ht="15" customHeight="1" thickBot="1">
      <c r="A2" s="388"/>
      <c r="B2" s="389"/>
      <c r="C2" s="389"/>
      <c r="D2" s="389"/>
      <c r="E2" s="389"/>
      <c r="F2" s="389"/>
      <c r="G2" s="163" t="str">
        <f>IF(INPUT!C3=0,"",INPUT!C3)</f>
        <v>RLP # 36C248-25-R-0110 – EXHIBIT K</v>
      </c>
      <c r="H2" s="163"/>
      <c r="I2" s="164" t="str">
        <f>IF(INPUT!C10=0,"",INPUT!C10)</f>
        <v/>
      </c>
      <c r="J2" s="252"/>
      <c r="K2" s="252"/>
      <c r="L2" s="252"/>
      <c r="M2" s="252"/>
      <c r="N2" s="252"/>
      <c r="O2" s="252"/>
    </row>
    <row r="3" spans="1:26" s="10" customFormat="1" ht="36" customHeight="1" thickBot="1">
      <c r="A3" s="480" t="s">
        <v>208</v>
      </c>
      <c r="B3" s="402"/>
      <c r="C3" s="402"/>
      <c r="D3" s="402"/>
      <c r="E3" s="402"/>
      <c r="F3" s="402"/>
      <c r="G3" s="402"/>
      <c r="H3" s="402"/>
      <c r="I3" s="403"/>
      <c r="J3" s="253"/>
      <c r="K3" s="253"/>
      <c r="L3" s="253"/>
      <c r="M3" s="253"/>
      <c r="N3" s="253"/>
      <c r="O3" s="253"/>
    </row>
    <row r="4" spans="1:26" ht="15.5">
      <c r="A4" s="498" t="s">
        <v>93</v>
      </c>
      <c r="B4" s="499"/>
      <c r="C4" s="390" t="s">
        <v>91</v>
      </c>
      <c r="D4" s="382"/>
      <c r="E4" s="382"/>
      <c r="F4" s="383"/>
      <c r="G4" s="509" t="s">
        <v>92</v>
      </c>
      <c r="H4" s="510"/>
      <c r="I4" s="511"/>
      <c r="J4" s="252"/>
      <c r="K4" s="252"/>
      <c r="L4" s="252"/>
      <c r="M4" s="252"/>
      <c r="N4" s="252"/>
      <c r="O4" s="252"/>
    </row>
    <row r="5" spans="1:26" ht="15.75" customHeight="1" thickBot="1">
      <c r="A5" s="454"/>
      <c r="B5" s="500"/>
      <c r="C5" s="37" t="s">
        <v>129</v>
      </c>
      <c r="D5" s="27" t="s">
        <v>95</v>
      </c>
      <c r="E5" s="28" t="s">
        <v>61</v>
      </c>
      <c r="F5" s="38" t="s">
        <v>79</v>
      </c>
      <c r="G5" s="29" t="s">
        <v>96</v>
      </c>
      <c r="H5" s="30" t="s">
        <v>85</v>
      </c>
      <c r="I5" s="31" t="s">
        <v>79</v>
      </c>
      <c r="J5" s="252"/>
      <c r="K5" s="252"/>
      <c r="L5" s="252"/>
      <c r="M5" s="252"/>
      <c r="N5" s="252"/>
      <c r="O5" s="252"/>
    </row>
    <row r="6" spans="1:26" ht="21.75" customHeight="1">
      <c r="A6" s="476" t="s">
        <v>149</v>
      </c>
      <c r="B6" s="497"/>
      <c r="C6" s="34">
        <v>1</v>
      </c>
      <c r="D6" s="19" t="s">
        <v>148</v>
      </c>
      <c r="E6" s="11">
        <v>0</v>
      </c>
      <c r="F6" s="260">
        <f t="shared" ref="F6:F18" si="0">C6*E6</f>
        <v>0</v>
      </c>
      <c r="G6" s="32">
        <v>1</v>
      </c>
      <c r="H6" s="17">
        <v>0</v>
      </c>
      <c r="I6" s="261">
        <f t="shared" ref="I6:I18" si="1">G6*H6</f>
        <v>0</v>
      </c>
      <c r="J6" s="254"/>
      <c r="K6" s="254"/>
      <c r="L6" s="254"/>
      <c r="M6" s="254"/>
      <c r="N6" s="254"/>
      <c r="O6" s="254"/>
      <c r="P6" s="6"/>
      <c r="Q6" s="6"/>
      <c r="R6" s="6"/>
      <c r="S6" s="6"/>
      <c r="T6" s="6"/>
      <c r="U6" s="6"/>
      <c r="V6" s="6"/>
      <c r="W6" s="6"/>
      <c r="X6" s="6"/>
      <c r="Y6" s="6"/>
      <c r="Z6" s="6"/>
    </row>
    <row r="7" spans="1:26" ht="21.75" customHeight="1">
      <c r="A7" s="476"/>
      <c r="B7" s="497"/>
      <c r="C7" s="34"/>
      <c r="D7" s="19"/>
      <c r="E7" s="11"/>
      <c r="F7" s="260">
        <f>C7*E7</f>
        <v>0</v>
      </c>
      <c r="G7" s="33"/>
      <c r="H7" s="18"/>
      <c r="I7" s="179">
        <f t="shared" si="1"/>
        <v>0</v>
      </c>
      <c r="J7" s="254"/>
      <c r="K7" s="254"/>
      <c r="L7" s="254"/>
      <c r="M7" s="254"/>
      <c r="N7" s="254"/>
      <c r="O7" s="254"/>
      <c r="P7" s="6"/>
      <c r="Q7" s="6"/>
      <c r="R7" s="6"/>
      <c r="S7" s="6"/>
      <c r="T7" s="6"/>
      <c r="U7" s="6"/>
      <c r="V7" s="6"/>
      <c r="W7" s="6"/>
      <c r="X7" s="6"/>
      <c r="Y7" s="6"/>
      <c r="Z7" s="6"/>
    </row>
    <row r="8" spans="1:26" ht="21.75" customHeight="1">
      <c r="A8" s="476"/>
      <c r="B8" s="497"/>
      <c r="C8" s="34"/>
      <c r="D8" s="19"/>
      <c r="E8" s="11"/>
      <c r="F8" s="262">
        <f t="shared" si="0"/>
        <v>0</v>
      </c>
      <c r="G8" s="33"/>
      <c r="H8" s="18"/>
      <c r="I8" s="179">
        <f t="shared" si="1"/>
        <v>0</v>
      </c>
      <c r="J8" s="254"/>
      <c r="K8" s="254"/>
      <c r="L8" s="254"/>
      <c r="M8" s="254"/>
      <c r="N8" s="254"/>
      <c r="O8" s="254"/>
      <c r="P8" s="6"/>
      <c r="Q8" s="6"/>
      <c r="R8" s="6"/>
      <c r="S8" s="6"/>
      <c r="T8" s="6"/>
      <c r="U8" s="6"/>
      <c r="V8" s="6"/>
      <c r="W8" s="6"/>
      <c r="X8" s="6"/>
      <c r="Y8" s="6"/>
      <c r="Z8" s="6"/>
    </row>
    <row r="9" spans="1:26" ht="21.75" customHeight="1">
      <c r="A9" s="476"/>
      <c r="B9" s="497"/>
      <c r="C9" s="34"/>
      <c r="D9" s="19"/>
      <c r="E9" s="11"/>
      <c r="F9" s="262">
        <f t="shared" si="0"/>
        <v>0</v>
      </c>
      <c r="G9" s="33"/>
      <c r="H9" s="18"/>
      <c r="I9" s="179">
        <f t="shared" si="1"/>
        <v>0</v>
      </c>
      <c r="J9" s="254"/>
      <c r="K9" s="254"/>
      <c r="L9" s="254"/>
      <c r="M9" s="254"/>
      <c r="N9" s="254"/>
      <c r="O9" s="254"/>
      <c r="P9" s="6"/>
      <c r="Q9" s="6"/>
      <c r="R9" s="6"/>
      <c r="S9" s="6"/>
      <c r="T9" s="6"/>
      <c r="U9" s="6"/>
      <c r="V9" s="6"/>
      <c r="W9" s="6"/>
      <c r="X9" s="6"/>
      <c r="Y9" s="6"/>
      <c r="Z9" s="6"/>
    </row>
    <row r="10" spans="1:26" ht="21.75" customHeight="1">
      <c r="A10" s="476"/>
      <c r="B10" s="497"/>
      <c r="C10" s="34"/>
      <c r="D10" s="19"/>
      <c r="E10" s="11"/>
      <c r="F10" s="260">
        <f t="shared" si="0"/>
        <v>0</v>
      </c>
      <c r="G10" s="33"/>
      <c r="H10" s="18"/>
      <c r="I10" s="179">
        <f t="shared" si="1"/>
        <v>0</v>
      </c>
      <c r="J10" s="254"/>
      <c r="K10" s="254"/>
      <c r="L10" s="254"/>
      <c r="M10" s="254"/>
      <c r="N10" s="254"/>
      <c r="O10" s="254"/>
      <c r="P10" s="6"/>
      <c r="Q10" s="6"/>
      <c r="R10" s="6"/>
      <c r="S10" s="6"/>
      <c r="T10" s="6"/>
      <c r="U10" s="6"/>
      <c r="V10" s="6"/>
      <c r="W10" s="6"/>
      <c r="X10" s="6"/>
      <c r="Y10" s="6"/>
      <c r="Z10" s="6"/>
    </row>
    <row r="11" spans="1:26" ht="21.75" customHeight="1">
      <c r="A11" s="476"/>
      <c r="B11" s="497"/>
      <c r="C11" s="34"/>
      <c r="D11" s="19"/>
      <c r="E11" s="11"/>
      <c r="F11" s="260">
        <f t="shared" si="0"/>
        <v>0</v>
      </c>
      <c r="G11" s="33"/>
      <c r="H11" s="18"/>
      <c r="I11" s="179">
        <f t="shared" si="1"/>
        <v>0</v>
      </c>
      <c r="J11" s="254"/>
      <c r="K11" s="254"/>
      <c r="L11" s="254"/>
      <c r="M11" s="254"/>
      <c r="N11" s="254"/>
      <c r="O11" s="254"/>
      <c r="P11" s="6"/>
      <c r="Q11" s="6"/>
      <c r="R11" s="6"/>
      <c r="S11" s="6"/>
      <c r="T11" s="6"/>
      <c r="U11" s="6"/>
      <c r="V11" s="6"/>
      <c r="W11" s="6"/>
      <c r="X11" s="6"/>
      <c r="Y11" s="6"/>
      <c r="Z11" s="6"/>
    </row>
    <row r="12" spans="1:26" ht="21.75" customHeight="1">
      <c r="A12" s="476"/>
      <c r="B12" s="497"/>
      <c r="C12" s="34"/>
      <c r="D12" s="19"/>
      <c r="E12" s="11"/>
      <c r="F12" s="260">
        <f t="shared" si="0"/>
        <v>0</v>
      </c>
      <c r="G12" s="33"/>
      <c r="H12" s="18"/>
      <c r="I12" s="179">
        <f t="shared" si="1"/>
        <v>0</v>
      </c>
      <c r="J12" s="254"/>
      <c r="K12" s="254"/>
      <c r="L12" s="254"/>
      <c r="M12" s="254"/>
      <c r="N12" s="254"/>
      <c r="O12" s="254"/>
      <c r="P12" s="6"/>
      <c r="Q12" s="6"/>
      <c r="R12" s="6"/>
      <c r="S12" s="6"/>
      <c r="T12" s="6"/>
      <c r="U12" s="6"/>
      <c r="V12" s="6"/>
      <c r="W12" s="6"/>
      <c r="X12" s="6"/>
      <c r="Y12" s="6"/>
      <c r="Z12" s="6"/>
    </row>
    <row r="13" spans="1:26" ht="21.75" customHeight="1">
      <c r="A13" s="476"/>
      <c r="B13" s="497"/>
      <c r="C13" s="34"/>
      <c r="D13" s="19"/>
      <c r="E13" s="11"/>
      <c r="F13" s="260">
        <f t="shared" si="0"/>
        <v>0</v>
      </c>
      <c r="G13" s="33"/>
      <c r="H13" s="18"/>
      <c r="I13" s="179">
        <f t="shared" si="1"/>
        <v>0</v>
      </c>
      <c r="J13" s="254"/>
      <c r="K13" s="254"/>
      <c r="L13" s="254"/>
      <c r="M13" s="254"/>
      <c r="N13" s="254"/>
      <c r="O13" s="254"/>
      <c r="P13" s="6"/>
      <c r="Q13" s="6"/>
      <c r="R13" s="6"/>
      <c r="S13" s="6"/>
      <c r="T13" s="6"/>
      <c r="U13" s="6"/>
      <c r="V13" s="6"/>
      <c r="W13" s="6"/>
      <c r="X13" s="6"/>
      <c r="Y13" s="6"/>
      <c r="Z13" s="6"/>
    </row>
    <row r="14" spans="1:26" ht="21.75" customHeight="1">
      <c r="A14" s="476"/>
      <c r="B14" s="497"/>
      <c r="C14" s="34"/>
      <c r="D14" s="19"/>
      <c r="E14" s="11"/>
      <c r="F14" s="260">
        <f t="shared" si="0"/>
        <v>0</v>
      </c>
      <c r="G14" s="33"/>
      <c r="H14" s="18"/>
      <c r="I14" s="179">
        <f t="shared" si="1"/>
        <v>0</v>
      </c>
      <c r="J14" s="254"/>
      <c r="K14" s="254"/>
      <c r="L14" s="254"/>
      <c r="M14" s="254"/>
      <c r="N14" s="254"/>
      <c r="O14" s="254"/>
      <c r="P14" s="6"/>
      <c r="Q14" s="6"/>
      <c r="R14" s="6"/>
      <c r="S14" s="6"/>
      <c r="T14" s="6"/>
      <c r="U14" s="6"/>
      <c r="V14" s="6"/>
      <c r="W14" s="6"/>
      <c r="X14" s="6"/>
      <c r="Y14" s="6"/>
      <c r="Z14" s="6"/>
    </row>
    <row r="15" spans="1:26" ht="21.75" customHeight="1">
      <c r="A15" s="476"/>
      <c r="B15" s="497"/>
      <c r="C15" s="34"/>
      <c r="D15" s="19"/>
      <c r="E15" s="11"/>
      <c r="F15" s="260">
        <f t="shared" si="0"/>
        <v>0</v>
      </c>
      <c r="G15" s="33"/>
      <c r="H15" s="18"/>
      <c r="I15" s="179">
        <f t="shared" si="1"/>
        <v>0</v>
      </c>
      <c r="J15" s="254"/>
      <c r="K15" s="254"/>
      <c r="L15" s="254"/>
      <c r="M15" s="254"/>
      <c r="N15" s="254"/>
      <c r="O15" s="254"/>
      <c r="P15" s="6"/>
      <c r="Q15" s="6"/>
      <c r="R15" s="6"/>
      <c r="S15" s="6"/>
      <c r="T15" s="6"/>
      <c r="U15" s="6"/>
      <c r="V15" s="6"/>
      <c r="W15" s="6"/>
      <c r="X15" s="6"/>
      <c r="Y15" s="6"/>
      <c r="Z15" s="6"/>
    </row>
    <row r="16" spans="1:26" ht="21.75" customHeight="1">
      <c r="A16" s="476"/>
      <c r="B16" s="497"/>
      <c r="C16" s="34"/>
      <c r="D16" s="19"/>
      <c r="E16" s="11"/>
      <c r="F16" s="260">
        <f t="shared" si="0"/>
        <v>0</v>
      </c>
      <c r="G16" s="33"/>
      <c r="H16" s="18"/>
      <c r="I16" s="179">
        <f t="shared" si="1"/>
        <v>0</v>
      </c>
      <c r="J16" s="254"/>
      <c r="K16" s="254"/>
      <c r="L16" s="254"/>
      <c r="M16" s="254"/>
      <c r="N16" s="254"/>
      <c r="O16" s="254"/>
      <c r="P16" s="6"/>
      <c r="Q16" s="6"/>
      <c r="R16" s="6"/>
      <c r="S16" s="6"/>
      <c r="T16" s="6"/>
      <c r="U16" s="6"/>
      <c r="V16" s="6"/>
      <c r="W16" s="6"/>
      <c r="X16" s="6"/>
      <c r="Y16" s="6"/>
      <c r="Z16" s="6"/>
    </row>
    <row r="17" spans="1:26" ht="21.75" customHeight="1">
      <c r="A17" s="476"/>
      <c r="B17" s="497"/>
      <c r="C17" s="34"/>
      <c r="D17" s="19"/>
      <c r="E17" s="11"/>
      <c r="F17" s="260">
        <f t="shared" si="0"/>
        <v>0</v>
      </c>
      <c r="G17" s="33"/>
      <c r="H17" s="18"/>
      <c r="I17" s="179">
        <f t="shared" si="1"/>
        <v>0</v>
      </c>
      <c r="J17" s="254"/>
      <c r="K17" s="254"/>
      <c r="L17" s="254"/>
      <c r="M17" s="254"/>
      <c r="N17" s="254"/>
      <c r="O17" s="254"/>
      <c r="P17" s="6"/>
      <c r="Q17" s="6"/>
      <c r="R17" s="6"/>
      <c r="S17" s="6"/>
      <c r="T17" s="6"/>
      <c r="U17" s="6"/>
      <c r="V17" s="6"/>
      <c r="W17" s="6"/>
      <c r="X17" s="6"/>
      <c r="Y17" s="6"/>
      <c r="Z17" s="6"/>
    </row>
    <row r="18" spans="1:26" ht="21.75" customHeight="1">
      <c r="A18" s="476"/>
      <c r="B18" s="497"/>
      <c r="C18" s="34"/>
      <c r="D18" s="19"/>
      <c r="E18" s="11"/>
      <c r="F18" s="263">
        <f t="shared" si="0"/>
        <v>0</v>
      </c>
      <c r="G18" s="32"/>
      <c r="H18" s="16"/>
      <c r="I18" s="182">
        <f t="shared" si="1"/>
        <v>0</v>
      </c>
      <c r="J18" s="254"/>
      <c r="K18" s="254"/>
      <c r="L18" s="254"/>
      <c r="M18" s="254"/>
      <c r="N18" s="254"/>
      <c r="O18" s="254"/>
      <c r="P18" s="6"/>
      <c r="Q18" s="6"/>
      <c r="R18" s="6"/>
      <c r="S18" s="6"/>
      <c r="T18" s="6"/>
      <c r="U18" s="6"/>
      <c r="V18" s="6"/>
      <c r="W18" s="6"/>
      <c r="X18" s="6"/>
      <c r="Y18" s="6"/>
      <c r="Z18" s="6"/>
    </row>
    <row r="19" spans="1:26" ht="15.75" customHeight="1" thickBot="1">
      <c r="A19" s="23"/>
      <c r="B19" s="24"/>
      <c r="C19" s="467" t="s">
        <v>122</v>
      </c>
      <c r="D19" s="468"/>
      <c r="E19" s="468"/>
      <c r="F19" s="25">
        <f>SUM(F6:F18)</f>
        <v>0</v>
      </c>
      <c r="G19" s="468" t="s">
        <v>123</v>
      </c>
      <c r="H19" s="468"/>
      <c r="I19" s="25">
        <f>SUM(I6:I18)</f>
        <v>0</v>
      </c>
      <c r="J19" s="255"/>
      <c r="K19" s="255"/>
      <c r="L19" s="255"/>
      <c r="M19" s="255"/>
      <c r="N19" s="255"/>
      <c r="O19" s="255"/>
      <c r="P19" s="7"/>
      <c r="Q19" s="7"/>
      <c r="R19" s="7"/>
      <c r="S19" s="7"/>
      <c r="T19" s="7"/>
      <c r="U19" s="7"/>
      <c r="V19" s="7"/>
      <c r="W19" s="7"/>
      <c r="X19" s="7"/>
      <c r="Y19" s="7"/>
      <c r="Z19" s="7"/>
    </row>
    <row r="20" spans="1:26" ht="20.149999999999999" customHeight="1" thickBot="1">
      <c r="A20" s="469" t="s">
        <v>125</v>
      </c>
      <c r="B20" s="470"/>
      <c r="C20" s="470"/>
      <c r="D20" s="470"/>
      <c r="E20" s="470"/>
      <c r="F20" s="470"/>
      <c r="G20" s="470"/>
      <c r="H20" s="470"/>
      <c r="I20" s="26">
        <f>SUM(I19,F19)</f>
        <v>0</v>
      </c>
      <c r="J20" s="255"/>
      <c r="K20" s="255"/>
      <c r="L20" s="255"/>
      <c r="M20" s="255"/>
      <c r="N20" s="255"/>
      <c r="O20" s="255"/>
      <c r="P20" s="7"/>
      <c r="Q20" s="7"/>
      <c r="R20" s="7"/>
      <c r="S20" s="7"/>
      <c r="T20" s="7"/>
      <c r="U20" s="7"/>
      <c r="V20" s="7"/>
      <c r="W20" s="7"/>
      <c r="X20" s="7"/>
      <c r="Y20" s="7"/>
      <c r="Z20" s="7"/>
    </row>
    <row r="21" spans="1:26" ht="36" customHeight="1" thickBot="1">
      <c r="A21" s="492" t="s">
        <v>209</v>
      </c>
      <c r="B21" s="493"/>
      <c r="C21" s="493"/>
      <c r="D21" s="493"/>
      <c r="E21" s="493"/>
      <c r="F21" s="493"/>
      <c r="G21" s="493"/>
      <c r="H21" s="493"/>
      <c r="I21" s="494"/>
      <c r="J21" s="255"/>
      <c r="K21" s="255"/>
      <c r="L21" s="255"/>
      <c r="M21" s="255"/>
      <c r="N21" s="255"/>
      <c r="O21" s="255"/>
      <c r="P21" s="7"/>
      <c r="Q21" s="7"/>
      <c r="R21" s="7"/>
      <c r="S21" s="7"/>
      <c r="T21" s="7"/>
      <c r="U21" s="7"/>
      <c r="V21" s="7"/>
      <c r="W21" s="7"/>
      <c r="X21" s="7"/>
      <c r="Y21" s="7"/>
      <c r="Z21" s="7"/>
    </row>
    <row r="22" spans="1:26" ht="15.5">
      <c r="A22" s="503" t="s">
        <v>93</v>
      </c>
      <c r="B22" s="504"/>
      <c r="C22" s="505" t="s">
        <v>91</v>
      </c>
      <c r="D22" s="506"/>
      <c r="E22" s="506"/>
      <c r="F22" s="507"/>
      <c r="G22" s="508" t="s">
        <v>92</v>
      </c>
      <c r="H22" s="506"/>
      <c r="I22" s="507"/>
      <c r="J22" s="256"/>
      <c r="K22" s="256"/>
      <c r="L22" s="256"/>
      <c r="M22" s="256"/>
      <c r="N22" s="256"/>
      <c r="O22" s="256"/>
      <c r="P22" s="8"/>
      <c r="Q22" s="8"/>
      <c r="R22" s="8"/>
      <c r="S22" s="8"/>
      <c r="T22" s="8"/>
      <c r="U22" s="8"/>
      <c r="V22" s="8"/>
      <c r="W22" s="8"/>
      <c r="X22" s="8"/>
      <c r="Y22" s="8"/>
      <c r="Z22" s="8"/>
    </row>
    <row r="23" spans="1:26" ht="15.75" customHeight="1" thickBot="1">
      <c r="A23" s="454"/>
      <c r="B23" s="500"/>
      <c r="C23" s="37" t="s">
        <v>129</v>
      </c>
      <c r="D23" s="27" t="s">
        <v>95</v>
      </c>
      <c r="E23" s="28" t="s">
        <v>61</v>
      </c>
      <c r="F23" s="38" t="s">
        <v>79</v>
      </c>
      <c r="G23" s="29" t="s">
        <v>96</v>
      </c>
      <c r="H23" s="30" t="s">
        <v>85</v>
      </c>
      <c r="I23" s="31" t="s">
        <v>79</v>
      </c>
      <c r="J23" s="256"/>
      <c r="K23" s="256"/>
      <c r="L23" s="256"/>
      <c r="M23" s="256"/>
      <c r="N23" s="256"/>
      <c r="O23" s="256"/>
      <c r="P23" s="8"/>
      <c r="Q23" s="8"/>
      <c r="R23" s="8"/>
      <c r="S23" s="8"/>
      <c r="T23" s="8"/>
      <c r="U23" s="8"/>
      <c r="V23" s="8"/>
      <c r="W23" s="8"/>
      <c r="X23" s="8"/>
      <c r="Y23" s="8"/>
      <c r="Z23" s="8"/>
    </row>
    <row r="24" spans="1:26" ht="21.75" customHeight="1">
      <c r="A24" s="471"/>
      <c r="B24" s="497"/>
      <c r="C24" s="39">
        <v>1</v>
      </c>
      <c r="D24" s="20"/>
      <c r="E24" s="12">
        <v>0</v>
      </c>
      <c r="F24" s="40">
        <f t="shared" ref="F24:F36" si="2">C24*E24</f>
        <v>0</v>
      </c>
      <c r="G24" s="35">
        <v>1</v>
      </c>
      <c r="H24" s="12">
        <v>0</v>
      </c>
      <c r="I24" s="264">
        <f>G24*H24</f>
        <v>0</v>
      </c>
      <c r="J24" s="252"/>
      <c r="K24" s="252"/>
      <c r="L24" s="252"/>
      <c r="M24" s="252"/>
      <c r="N24" s="252"/>
      <c r="O24" s="252"/>
    </row>
    <row r="25" spans="1:26" ht="21.75" customHeight="1">
      <c r="A25" s="471"/>
      <c r="B25" s="497"/>
      <c r="C25" s="39"/>
      <c r="D25" s="20"/>
      <c r="E25" s="12"/>
      <c r="F25" s="40">
        <f t="shared" si="2"/>
        <v>0</v>
      </c>
      <c r="G25" s="35"/>
      <c r="H25" s="12"/>
      <c r="I25" s="206">
        <f t="shared" ref="I25:I36" si="3">G25*H25</f>
        <v>0</v>
      </c>
      <c r="J25" s="252"/>
      <c r="K25" s="252"/>
      <c r="L25" s="252"/>
      <c r="M25" s="252"/>
      <c r="N25" s="252"/>
      <c r="O25" s="252"/>
    </row>
    <row r="26" spans="1:26" ht="21.75" customHeight="1">
      <c r="A26" s="471"/>
      <c r="B26" s="497"/>
      <c r="C26" s="39"/>
      <c r="D26" s="20"/>
      <c r="E26" s="12"/>
      <c r="F26" s="40">
        <f t="shared" si="2"/>
        <v>0</v>
      </c>
      <c r="G26" s="35"/>
      <c r="H26" s="12"/>
      <c r="I26" s="206">
        <f t="shared" si="3"/>
        <v>0</v>
      </c>
      <c r="J26" s="252"/>
      <c r="K26" s="252"/>
      <c r="L26" s="252"/>
      <c r="M26" s="252"/>
      <c r="N26" s="252"/>
      <c r="O26" s="252"/>
    </row>
    <row r="27" spans="1:26" ht="21.75" customHeight="1">
      <c r="A27" s="471"/>
      <c r="B27" s="497"/>
      <c r="C27" s="39"/>
      <c r="D27" s="20"/>
      <c r="E27" s="12"/>
      <c r="F27" s="40">
        <f t="shared" si="2"/>
        <v>0</v>
      </c>
      <c r="G27" s="35"/>
      <c r="H27" s="12"/>
      <c r="I27" s="206">
        <f t="shared" si="3"/>
        <v>0</v>
      </c>
      <c r="J27" s="252"/>
      <c r="K27" s="252"/>
      <c r="L27" s="252"/>
      <c r="M27" s="252"/>
      <c r="N27" s="252"/>
      <c r="O27" s="252"/>
    </row>
    <row r="28" spans="1:26" ht="21.75" customHeight="1">
      <c r="A28" s="471"/>
      <c r="B28" s="497"/>
      <c r="C28" s="39"/>
      <c r="D28" s="20"/>
      <c r="E28" s="12"/>
      <c r="F28" s="40">
        <f t="shared" si="2"/>
        <v>0</v>
      </c>
      <c r="G28" s="35"/>
      <c r="H28" s="12"/>
      <c r="I28" s="206">
        <f t="shared" si="3"/>
        <v>0</v>
      </c>
      <c r="J28" s="252"/>
      <c r="K28" s="252"/>
      <c r="L28" s="252"/>
      <c r="M28" s="252"/>
      <c r="N28" s="252"/>
      <c r="O28" s="252"/>
    </row>
    <row r="29" spans="1:26" ht="21.75" customHeight="1">
      <c r="A29" s="471"/>
      <c r="B29" s="497"/>
      <c r="C29" s="39"/>
      <c r="D29" s="20"/>
      <c r="E29" s="12"/>
      <c r="F29" s="40">
        <f t="shared" si="2"/>
        <v>0</v>
      </c>
      <c r="G29" s="35"/>
      <c r="H29" s="12"/>
      <c r="I29" s="206">
        <f t="shared" si="3"/>
        <v>0</v>
      </c>
      <c r="J29" s="252"/>
      <c r="K29" s="252"/>
      <c r="L29" s="252"/>
      <c r="M29" s="252"/>
      <c r="N29" s="252"/>
      <c r="O29" s="252"/>
    </row>
    <row r="30" spans="1:26" ht="21.75" customHeight="1">
      <c r="A30" s="471"/>
      <c r="B30" s="497"/>
      <c r="C30" s="39"/>
      <c r="D30" s="20"/>
      <c r="E30" s="12"/>
      <c r="F30" s="40">
        <f t="shared" si="2"/>
        <v>0</v>
      </c>
      <c r="G30" s="35"/>
      <c r="H30" s="12"/>
      <c r="I30" s="206">
        <f t="shared" si="3"/>
        <v>0</v>
      </c>
      <c r="J30" s="252"/>
      <c r="K30" s="252"/>
      <c r="L30" s="252"/>
      <c r="M30" s="252"/>
      <c r="N30" s="252"/>
      <c r="O30" s="252"/>
    </row>
    <row r="31" spans="1:26" ht="21.75" customHeight="1">
      <c r="A31" s="471"/>
      <c r="B31" s="497"/>
      <c r="C31" s="39"/>
      <c r="D31" s="20"/>
      <c r="E31" s="12"/>
      <c r="F31" s="40">
        <f t="shared" si="2"/>
        <v>0</v>
      </c>
      <c r="G31" s="35"/>
      <c r="H31" s="12"/>
      <c r="I31" s="206">
        <f t="shared" si="3"/>
        <v>0</v>
      </c>
      <c r="J31" s="252"/>
      <c r="K31" s="252"/>
      <c r="L31" s="252"/>
      <c r="M31" s="252"/>
      <c r="N31" s="252"/>
      <c r="O31" s="252"/>
    </row>
    <row r="32" spans="1:26" ht="21.75" customHeight="1">
      <c r="A32" s="471"/>
      <c r="B32" s="497"/>
      <c r="C32" s="39"/>
      <c r="D32" s="20"/>
      <c r="E32" s="12"/>
      <c r="F32" s="40">
        <f t="shared" si="2"/>
        <v>0</v>
      </c>
      <c r="G32" s="35"/>
      <c r="H32" s="12"/>
      <c r="I32" s="206">
        <f t="shared" si="3"/>
        <v>0</v>
      </c>
      <c r="J32" s="252"/>
      <c r="K32" s="252"/>
      <c r="L32" s="252"/>
      <c r="M32" s="252"/>
      <c r="N32" s="252"/>
      <c r="O32" s="252"/>
    </row>
    <row r="33" spans="1:15" ht="21.75" customHeight="1">
      <c r="A33" s="471"/>
      <c r="B33" s="497"/>
      <c r="C33" s="39"/>
      <c r="D33" s="20"/>
      <c r="E33" s="12"/>
      <c r="F33" s="40">
        <f t="shared" si="2"/>
        <v>0</v>
      </c>
      <c r="G33" s="35"/>
      <c r="H33" s="12"/>
      <c r="I33" s="206">
        <f t="shared" si="3"/>
        <v>0</v>
      </c>
      <c r="J33" s="252"/>
      <c r="K33" s="252"/>
      <c r="L33" s="252"/>
      <c r="M33" s="252"/>
      <c r="N33" s="252"/>
      <c r="O33" s="252"/>
    </row>
    <row r="34" spans="1:15" ht="21.75" customHeight="1">
      <c r="A34" s="471"/>
      <c r="B34" s="497"/>
      <c r="C34" s="39"/>
      <c r="D34" s="20"/>
      <c r="E34" s="12"/>
      <c r="F34" s="40">
        <f t="shared" si="2"/>
        <v>0</v>
      </c>
      <c r="G34" s="35"/>
      <c r="H34" s="12"/>
      <c r="I34" s="206">
        <f t="shared" si="3"/>
        <v>0</v>
      </c>
      <c r="J34" s="252"/>
      <c r="K34" s="252"/>
      <c r="L34" s="252"/>
      <c r="M34" s="252"/>
      <c r="N34" s="252"/>
      <c r="O34" s="252"/>
    </row>
    <row r="35" spans="1:15" ht="21.75" customHeight="1">
      <c r="A35" s="471"/>
      <c r="B35" s="497"/>
      <c r="C35" s="39"/>
      <c r="D35" s="20"/>
      <c r="E35" s="12"/>
      <c r="F35" s="40">
        <f t="shared" si="2"/>
        <v>0</v>
      </c>
      <c r="G35" s="35"/>
      <c r="H35" s="12"/>
      <c r="I35" s="206">
        <f t="shared" si="3"/>
        <v>0</v>
      </c>
      <c r="J35" s="252"/>
      <c r="K35" s="252"/>
      <c r="L35" s="252"/>
      <c r="M35" s="252"/>
      <c r="N35" s="252"/>
      <c r="O35" s="252"/>
    </row>
    <row r="36" spans="1:15" ht="21.75" customHeight="1">
      <c r="A36" s="471"/>
      <c r="B36" s="497"/>
      <c r="C36" s="41"/>
      <c r="D36" s="21"/>
      <c r="E36" s="13"/>
      <c r="F36" s="42">
        <f t="shared" si="2"/>
        <v>0</v>
      </c>
      <c r="G36" s="36"/>
      <c r="H36" s="13"/>
      <c r="I36" s="265">
        <f t="shared" si="3"/>
        <v>0</v>
      </c>
      <c r="J36" s="252"/>
      <c r="K36" s="252"/>
      <c r="L36" s="252"/>
      <c r="M36" s="252"/>
      <c r="N36" s="252"/>
      <c r="O36" s="252"/>
    </row>
    <row r="37" spans="1:15" ht="15.75" customHeight="1" thickBot="1">
      <c r="A37" s="23"/>
      <c r="B37" s="24"/>
      <c r="C37" s="473" t="s">
        <v>122</v>
      </c>
      <c r="D37" s="474"/>
      <c r="E37" s="475"/>
      <c r="F37" s="266">
        <f>SUM(F24:F36)</f>
        <v>0</v>
      </c>
      <c r="G37" s="501" t="s">
        <v>123</v>
      </c>
      <c r="H37" s="502"/>
      <c r="I37" s="266">
        <f>SUM(I24:I36)</f>
        <v>0</v>
      </c>
      <c r="J37" s="252"/>
      <c r="K37" s="252"/>
      <c r="L37" s="252"/>
      <c r="M37" s="252"/>
      <c r="N37" s="252"/>
      <c r="O37" s="252"/>
    </row>
    <row r="38" spans="1:15" ht="20.149999999999999" customHeight="1" thickBot="1">
      <c r="A38" s="469" t="s">
        <v>124</v>
      </c>
      <c r="B38" s="470"/>
      <c r="C38" s="470"/>
      <c r="D38" s="470"/>
      <c r="E38" s="470"/>
      <c r="F38" s="470"/>
      <c r="G38" s="470"/>
      <c r="H38" s="470"/>
      <c r="I38" s="267">
        <f>SUM(I37,F37)</f>
        <v>0</v>
      </c>
      <c r="J38" s="252"/>
      <c r="K38" s="252"/>
      <c r="L38" s="252"/>
      <c r="M38" s="252"/>
      <c r="N38" s="252"/>
      <c r="O38" s="252"/>
    </row>
    <row r="39" spans="1:15" ht="15.75" customHeight="1">
      <c r="A39" s="252"/>
      <c r="B39" s="252"/>
      <c r="C39" s="252"/>
      <c r="D39" s="252"/>
      <c r="E39" s="257"/>
      <c r="F39" s="252"/>
      <c r="G39" s="252"/>
      <c r="H39" s="252"/>
      <c r="I39" s="252"/>
      <c r="J39" s="252"/>
      <c r="K39" s="252"/>
      <c r="L39" s="252"/>
      <c r="M39" s="252"/>
      <c r="N39" s="252"/>
      <c r="O39" s="252"/>
    </row>
    <row r="40" spans="1:15" ht="15.75" customHeight="1">
      <c r="A40" s="252"/>
      <c r="B40" s="252"/>
      <c r="C40" s="252"/>
      <c r="D40" s="252"/>
      <c r="E40" s="257"/>
      <c r="F40" s="252"/>
      <c r="G40" s="252"/>
      <c r="H40" s="252"/>
      <c r="I40" s="252"/>
      <c r="J40" s="252"/>
      <c r="K40" s="252"/>
      <c r="L40" s="252"/>
      <c r="M40" s="252"/>
      <c r="N40" s="252"/>
      <c r="O40" s="252"/>
    </row>
    <row r="41" spans="1:15" ht="15.75" customHeight="1">
      <c r="A41" s="252"/>
      <c r="B41" s="252"/>
      <c r="C41" s="252"/>
      <c r="D41" s="252"/>
      <c r="E41" s="257"/>
      <c r="F41" s="252"/>
      <c r="G41" s="252"/>
      <c r="H41" s="252"/>
      <c r="I41" s="252"/>
      <c r="J41" s="252"/>
      <c r="K41" s="252"/>
      <c r="L41" s="252"/>
      <c r="M41" s="252"/>
      <c r="N41" s="252"/>
      <c r="O41" s="252"/>
    </row>
    <row r="42" spans="1:15" ht="15.75" customHeight="1">
      <c r="A42" s="252"/>
      <c r="B42" s="252"/>
      <c r="C42" s="252"/>
      <c r="D42" s="252"/>
      <c r="E42" s="257"/>
      <c r="F42" s="252"/>
      <c r="G42" s="252"/>
      <c r="H42" s="252"/>
      <c r="I42" s="252"/>
      <c r="J42" s="252"/>
      <c r="K42" s="252"/>
      <c r="L42" s="252"/>
      <c r="M42" s="252"/>
      <c r="N42" s="252"/>
      <c r="O42" s="252"/>
    </row>
    <row r="43" spans="1:15" ht="15.75" customHeight="1">
      <c r="A43" s="252"/>
      <c r="B43" s="252"/>
      <c r="C43" s="252"/>
      <c r="D43" s="252"/>
      <c r="E43" s="257"/>
      <c r="F43" s="252"/>
      <c r="G43" s="252"/>
      <c r="H43" s="252"/>
      <c r="I43" s="252"/>
      <c r="J43" s="252"/>
      <c r="K43" s="252"/>
      <c r="L43" s="252"/>
      <c r="M43" s="252"/>
      <c r="N43" s="252"/>
      <c r="O43" s="252"/>
    </row>
    <row r="44" spans="1:15" ht="15.75" customHeight="1">
      <c r="A44" s="252"/>
      <c r="B44" s="252"/>
      <c r="C44" s="252"/>
      <c r="D44" s="252"/>
      <c r="E44" s="257"/>
      <c r="F44" s="252"/>
      <c r="G44" s="252"/>
      <c r="H44" s="252"/>
      <c r="I44" s="252"/>
      <c r="J44" s="252"/>
      <c r="K44" s="252"/>
      <c r="L44" s="252"/>
      <c r="M44" s="252"/>
      <c r="N44" s="252"/>
      <c r="O44" s="252"/>
    </row>
    <row r="45" spans="1:15" ht="15.75" customHeight="1">
      <c r="A45" s="252"/>
      <c r="B45" s="252"/>
      <c r="C45" s="252"/>
      <c r="D45" s="252"/>
      <c r="E45" s="257"/>
      <c r="F45" s="252"/>
      <c r="G45" s="252"/>
      <c r="H45" s="252"/>
      <c r="I45" s="252"/>
      <c r="J45" s="252"/>
      <c r="K45" s="252"/>
      <c r="L45" s="252"/>
      <c r="M45" s="252"/>
      <c r="N45" s="252"/>
      <c r="O45" s="252"/>
    </row>
    <row r="46" spans="1:15" ht="15.75" customHeight="1">
      <c r="A46" s="252"/>
      <c r="B46" s="252"/>
      <c r="C46" s="252"/>
      <c r="D46" s="252"/>
      <c r="E46" s="257"/>
      <c r="F46" s="252"/>
      <c r="G46" s="252"/>
      <c r="H46" s="252"/>
      <c r="I46" s="252"/>
      <c r="J46" s="252"/>
      <c r="K46" s="252"/>
      <c r="L46" s="252"/>
      <c r="M46" s="252"/>
      <c r="N46" s="252"/>
      <c r="O46" s="252"/>
    </row>
    <row r="47" spans="1:15" ht="15.75" customHeight="1">
      <c r="A47" s="252"/>
      <c r="B47" s="252"/>
      <c r="C47" s="252"/>
      <c r="D47" s="252"/>
      <c r="E47" s="257"/>
      <c r="F47" s="252"/>
      <c r="G47" s="252"/>
      <c r="H47" s="252"/>
      <c r="I47" s="252"/>
      <c r="J47" s="252"/>
      <c r="K47" s="252"/>
      <c r="L47" s="252"/>
      <c r="M47" s="252"/>
      <c r="N47" s="252"/>
      <c r="O47" s="252"/>
    </row>
    <row r="48" spans="1:15" ht="15.75" customHeight="1">
      <c r="A48" s="252"/>
      <c r="B48" s="252"/>
      <c r="C48" s="252"/>
      <c r="D48" s="252"/>
      <c r="E48" s="257"/>
      <c r="F48" s="252"/>
      <c r="G48" s="252"/>
      <c r="H48" s="252"/>
      <c r="I48" s="252"/>
      <c r="J48" s="252"/>
      <c r="K48" s="252"/>
      <c r="L48" s="252"/>
      <c r="M48" s="252"/>
      <c r="N48" s="252"/>
      <c r="O48" s="252"/>
    </row>
    <row r="49" spans="1:15" ht="15.75" customHeight="1">
      <c r="A49" s="252"/>
      <c r="B49" s="252"/>
      <c r="C49" s="252"/>
      <c r="D49" s="252"/>
      <c r="E49" s="257"/>
      <c r="F49" s="252"/>
      <c r="G49" s="252"/>
      <c r="H49" s="252"/>
      <c r="I49" s="252"/>
      <c r="J49" s="252"/>
      <c r="K49" s="252"/>
      <c r="L49" s="252"/>
      <c r="M49" s="252"/>
      <c r="N49" s="252"/>
      <c r="O49" s="252"/>
    </row>
    <row r="50" spans="1:15" ht="15.75" customHeight="1">
      <c r="A50" s="252"/>
      <c r="B50" s="252"/>
      <c r="C50" s="252"/>
      <c r="D50" s="252"/>
      <c r="E50" s="257"/>
      <c r="F50" s="252"/>
      <c r="G50" s="252"/>
      <c r="H50" s="252"/>
      <c r="I50" s="252"/>
      <c r="J50" s="252"/>
      <c r="K50" s="252"/>
      <c r="L50" s="252"/>
      <c r="M50" s="252"/>
      <c r="N50" s="252"/>
      <c r="O50" s="252"/>
    </row>
    <row r="51" spans="1:15" ht="15.75" customHeight="1">
      <c r="A51" s="252"/>
      <c r="B51" s="252"/>
      <c r="C51" s="252"/>
      <c r="D51" s="252"/>
      <c r="E51" s="257"/>
      <c r="F51" s="252"/>
      <c r="G51" s="252"/>
      <c r="H51" s="252"/>
      <c r="I51" s="252"/>
      <c r="J51" s="252"/>
      <c r="K51" s="252"/>
      <c r="L51" s="252"/>
      <c r="M51" s="252"/>
      <c r="N51" s="252"/>
      <c r="O51" s="252"/>
    </row>
    <row r="52" spans="1:15" ht="15.75" customHeight="1">
      <c r="A52" s="252"/>
      <c r="B52" s="252"/>
      <c r="C52" s="252"/>
      <c r="D52" s="252"/>
      <c r="E52" s="257"/>
      <c r="F52" s="252"/>
      <c r="G52" s="252"/>
      <c r="H52" s="252"/>
      <c r="I52" s="252"/>
      <c r="J52" s="252"/>
      <c r="K52" s="252"/>
      <c r="L52" s="252"/>
      <c r="M52" s="252"/>
      <c r="N52" s="252"/>
      <c r="O52" s="252"/>
    </row>
    <row r="53" spans="1:15" ht="15.75" customHeight="1">
      <c r="A53" s="252"/>
      <c r="B53" s="252"/>
      <c r="C53" s="252"/>
      <c r="D53" s="252"/>
      <c r="E53" s="257"/>
      <c r="F53" s="252"/>
      <c r="G53" s="252"/>
      <c r="H53" s="252"/>
      <c r="I53" s="252"/>
      <c r="J53" s="252"/>
      <c r="K53" s="252"/>
      <c r="L53" s="252"/>
      <c r="M53" s="252"/>
      <c r="N53" s="252"/>
      <c r="O53" s="252"/>
    </row>
    <row r="54" spans="1:15" ht="15.75" customHeight="1">
      <c r="A54" s="252"/>
      <c r="B54" s="252"/>
      <c r="C54" s="252"/>
      <c r="D54" s="252"/>
      <c r="E54" s="257"/>
      <c r="F54" s="252"/>
      <c r="G54" s="252"/>
      <c r="H54" s="252"/>
      <c r="I54" s="252"/>
      <c r="J54" s="252"/>
      <c r="K54" s="252"/>
      <c r="L54" s="252"/>
      <c r="M54" s="252"/>
      <c r="N54" s="252"/>
      <c r="O54" s="252"/>
    </row>
    <row r="55" spans="1:15" ht="15.75" customHeight="1">
      <c r="E55" s="9"/>
    </row>
    <row r="56" spans="1:15" ht="15.75" customHeight="1">
      <c r="E56" s="9"/>
    </row>
    <row r="57" spans="1:15" ht="15.75" customHeight="1">
      <c r="E57" s="9"/>
    </row>
    <row r="58" spans="1:15" ht="15.75" customHeight="1">
      <c r="E58" s="9"/>
    </row>
    <row r="59" spans="1:15" ht="15.75" customHeight="1">
      <c r="E59" s="9"/>
    </row>
    <row r="60" spans="1:15" ht="15.75" customHeight="1">
      <c r="E60" s="9"/>
    </row>
    <row r="61" spans="1:15" ht="15.75" customHeight="1">
      <c r="E61" s="9"/>
    </row>
    <row r="62" spans="1:15" ht="15.75" customHeight="1">
      <c r="B62" s="277" t="s">
        <v>243</v>
      </c>
      <c r="E62" s="9"/>
    </row>
    <row r="63" spans="1:15" ht="15.75" customHeight="1">
      <c r="E63" s="9"/>
    </row>
    <row r="64" spans="1:1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6:B6"/>
    <mergeCell ref="A1:F2"/>
    <mergeCell ref="A3:I3"/>
    <mergeCell ref="A4:B5"/>
    <mergeCell ref="C4:F4"/>
    <mergeCell ref="G4:I4"/>
    <mergeCell ref="A18:B18"/>
    <mergeCell ref="A7:B7"/>
    <mergeCell ref="A8:B8"/>
    <mergeCell ref="A9:B9"/>
    <mergeCell ref="A10:B10"/>
    <mergeCell ref="A11:B11"/>
    <mergeCell ref="A12:B12"/>
    <mergeCell ref="A13:B13"/>
    <mergeCell ref="A14:B14"/>
    <mergeCell ref="A15:B15"/>
    <mergeCell ref="A16:B16"/>
    <mergeCell ref="A17:B17"/>
    <mergeCell ref="A29:B29"/>
    <mergeCell ref="C19:E19"/>
    <mergeCell ref="G19:H19"/>
    <mergeCell ref="A20:H20"/>
    <mergeCell ref="A21:I21"/>
    <mergeCell ref="A22:B23"/>
    <mergeCell ref="C22:F22"/>
    <mergeCell ref="G22:I22"/>
    <mergeCell ref="A24:B24"/>
    <mergeCell ref="A25:B25"/>
    <mergeCell ref="A26:B26"/>
    <mergeCell ref="A27:B27"/>
    <mergeCell ref="A28:B28"/>
    <mergeCell ref="A36:B36"/>
    <mergeCell ref="C37:E37"/>
    <mergeCell ref="G37:H37"/>
    <mergeCell ref="A38:H38"/>
    <mergeCell ref="A30:B30"/>
    <mergeCell ref="A31:B31"/>
    <mergeCell ref="A32:B32"/>
    <mergeCell ref="A33:B33"/>
    <mergeCell ref="A34:B34"/>
    <mergeCell ref="A35:B35"/>
  </mergeCells>
  <conditionalFormatting sqref="G2:H2">
    <cfRule type="expression" dxfId="2" priority="1" stopIfTrue="1">
      <formula>"MM/DD/YY"</formula>
    </cfRule>
  </conditionalFormatting>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27649" r:id="rId4" name="CommandButton1">
          <controlPr defaultSize="0" autoLine="0" altText="Add A Row Command Button" r:id="rId5">
            <anchor moveWithCells="1">
              <from>
                <xdr:col>9</xdr:col>
                <xdr:colOff>304800</xdr:colOff>
                <xdr:row>17</xdr:row>
                <xdr:rowOff>12700</xdr:rowOff>
              </from>
              <to>
                <xdr:col>11</xdr:col>
                <xdr:colOff>431800</xdr:colOff>
                <xdr:row>18</xdr:row>
                <xdr:rowOff>25400</xdr:rowOff>
              </to>
            </anchor>
          </controlPr>
        </control>
      </mc:Choice>
      <mc:Fallback>
        <control shapeId="27649" r:id="rId4" name="CommandButton1"/>
      </mc:Fallback>
    </mc:AlternateContent>
  </control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3233F-0E80-4168-A780-DF0EBDCC36F1}">
  <sheetPr codeName="Sheet27">
    <pageSetUpPr fitToPage="1"/>
  </sheetPr>
  <dimension ref="A1:Z1003"/>
  <sheetViews>
    <sheetView topLeftCell="C6" zoomScaleNormal="100" zoomScalePageLayoutView="9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210</v>
      </c>
      <c r="B1" s="387"/>
      <c r="C1" s="387"/>
      <c r="D1" s="387"/>
      <c r="E1" s="387"/>
      <c r="F1" s="387"/>
      <c r="G1" s="258" t="s">
        <v>165</v>
      </c>
      <c r="H1" s="259"/>
      <c r="I1" s="162" t="s">
        <v>166</v>
      </c>
      <c r="J1" s="252"/>
      <c r="K1" s="252"/>
      <c r="L1" s="252"/>
      <c r="M1" s="252"/>
      <c r="N1" s="252"/>
      <c r="O1" s="252"/>
      <c r="P1" s="252"/>
    </row>
    <row r="2" spans="1:26" ht="15" customHeight="1" thickBot="1">
      <c r="A2" s="388"/>
      <c r="B2" s="389"/>
      <c r="C2" s="389"/>
      <c r="D2" s="389"/>
      <c r="E2" s="389"/>
      <c r="F2" s="389"/>
      <c r="G2" s="163" t="str">
        <f>IF(INPUT!C3=0,"",INPUT!C3)</f>
        <v>RLP # 36C248-25-R-0110 – EXHIBIT K</v>
      </c>
      <c r="H2" s="163"/>
      <c r="I2" s="164" t="str">
        <f>IF(INPUT!C10=0,"",INPUT!C10)</f>
        <v/>
      </c>
      <c r="J2" s="252"/>
      <c r="K2" s="252"/>
      <c r="L2" s="252"/>
      <c r="M2" s="252"/>
      <c r="N2" s="252"/>
      <c r="O2" s="252"/>
      <c r="P2" s="252"/>
    </row>
    <row r="3" spans="1:26" s="10" customFormat="1" ht="36" customHeight="1" thickBot="1">
      <c r="A3" s="480" t="s">
        <v>211</v>
      </c>
      <c r="B3" s="402"/>
      <c r="C3" s="402"/>
      <c r="D3" s="402"/>
      <c r="E3" s="402"/>
      <c r="F3" s="402"/>
      <c r="G3" s="402"/>
      <c r="H3" s="402"/>
      <c r="I3" s="403"/>
      <c r="J3" s="253"/>
      <c r="K3" s="253"/>
      <c r="L3" s="253"/>
      <c r="M3" s="253"/>
      <c r="N3" s="253"/>
      <c r="O3" s="253"/>
      <c r="P3" s="253"/>
    </row>
    <row r="4" spans="1:26" ht="15.5">
      <c r="A4" s="498" t="s">
        <v>93</v>
      </c>
      <c r="B4" s="499"/>
      <c r="C4" s="390" t="s">
        <v>91</v>
      </c>
      <c r="D4" s="382"/>
      <c r="E4" s="382"/>
      <c r="F4" s="383"/>
      <c r="G4" s="509" t="s">
        <v>92</v>
      </c>
      <c r="H4" s="510"/>
      <c r="I4" s="511"/>
      <c r="J4" s="252"/>
      <c r="K4" s="252"/>
      <c r="L4" s="252"/>
      <c r="M4" s="252"/>
      <c r="N4" s="252"/>
      <c r="O4" s="252"/>
      <c r="P4" s="252"/>
    </row>
    <row r="5" spans="1:26" ht="15.75" customHeight="1" thickBot="1">
      <c r="A5" s="454"/>
      <c r="B5" s="500"/>
      <c r="C5" s="37" t="s">
        <v>129</v>
      </c>
      <c r="D5" s="27" t="s">
        <v>95</v>
      </c>
      <c r="E5" s="28" t="s">
        <v>61</v>
      </c>
      <c r="F5" s="38" t="s">
        <v>79</v>
      </c>
      <c r="G5" s="29" t="s">
        <v>96</v>
      </c>
      <c r="H5" s="30" t="s">
        <v>85</v>
      </c>
      <c r="I5" s="31" t="s">
        <v>79</v>
      </c>
      <c r="J5" s="252"/>
      <c r="K5" s="252"/>
      <c r="L5" s="252"/>
      <c r="M5" s="252"/>
      <c r="N5" s="252"/>
      <c r="O5" s="252"/>
      <c r="P5" s="252"/>
    </row>
    <row r="6" spans="1:26" ht="21.75" customHeight="1">
      <c r="A6" s="476" t="s">
        <v>149</v>
      </c>
      <c r="B6" s="497"/>
      <c r="C6" s="34">
        <v>1</v>
      </c>
      <c r="D6" s="19" t="s">
        <v>148</v>
      </c>
      <c r="E6" s="11">
        <v>0</v>
      </c>
      <c r="F6" s="260">
        <f t="shared" ref="F6:F18" si="0">C6*E6</f>
        <v>0</v>
      </c>
      <c r="G6" s="32">
        <v>1</v>
      </c>
      <c r="H6" s="17">
        <v>0</v>
      </c>
      <c r="I6" s="261">
        <f t="shared" ref="I6:I18" si="1">G6*H6</f>
        <v>0</v>
      </c>
      <c r="J6" s="254"/>
      <c r="K6" s="254"/>
      <c r="L6" s="254"/>
      <c r="M6" s="254"/>
      <c r="N6" s="254"/>
      <c r="O6" s="254"/>
      <c r="P6" s="254"/>
      <c r="Q6" s="6"/>
      <c r="R6" s="6"/>
      <c r="S6" s="6"/>
      <c r="T6" s="6"/>
      <c r="U6" s="6"/>
      <c r="V6" s="6"/>
      <c r="W6" s="6"/>
      <c r="X6" s="6"/>
      <c r="Y6" s="6"/>
      <c r="Z6" s="6"/>
    </row>
    <row r="7" spans="1:26" ht="21.75" customHeight="1">
      <c r="A7" s="476"/>
      <c r="B7" s="497"/>
      <c r="C7" s="34"/>
      <c r="D7" s="19"/>
      <c r="E7" s="11"/>
      <c r="F7" s="260">
        <f>C7*E7</f>
        <v>0</v>
      </c>
      <c r="G7" s="33"/>
      <c r="H7" s="18"/>
      <c r="I7" s="179">
        <f t="shared" si="1"/>
        <v>0</v>
      </c>
      <c r="J7" s="254"/>
      <c r="K7" s="254"/>
      <c r="L7" s="254"/>
      <c r="M7" s="254"/>
      <c r="N7" s="254"/>
      <c r="O7" s="254"/>
      <c r="P7" s="254"/>
      <c r="Q7" s="6"/>
      <c r="R7" s="6"/>
      <c r="S7" s="6"/>
      <c r="T7" s="6"/>
      <c r="U7" s="6"/>
      <c r="V7" s="6"/>
      <c r="W7" s="6"/>
      <c r="X7" s="6"/>
      <c r="Y7" s="6"/>
      <c r="Z7" s="6"/>
    </row>
    <row r="8" spans="1:26" ht="21.75" customHeight="1">
      <c r="A8" s="476"/>
      <c r="B8" s="497"/>
      <c r="C8" s="34"/>
      <c r="D8" s="19"/>
      <c r="E8" s="11"/>
      <c r="F8" s="262">
        <f t="shared" si="0"/>
        <v>0</v>
      </c>
      <c r="G8" s="33"/>
      <c r="H8" s="18"/>
      <c r="I8" s="179">
        <f t="shared" si="1"/>
        <v>0</v>
      </c>
      <c r="J8" s="254"/>
      <c r="K8" s="254"/>
      <c r="L8" s="254"/>
      <c r="M8" s="254"/>
      <c r="N8" s="254"/>
      <c r="O8" s="254"/>
      <c r="P8" s="254"/>
      <c r="Q8" s="6"/>
      <c r="R8" s="6"/>
      <c r="S8" s="6"/>
      <c r="T8" s="6"/>
      <c r="U8" s="6"/>
      <c r="V8" s="6"/>
      <c r="W8" s="6"/>
      <c r="X8" s="6"/>
      <c r="Y8" s="6"/>
      <c r="Z8" s="6"/>
    </row>
    <row r="9" spans="1:26" ht="21.75" customHeight="1">
      <c r="A9" s="476"/>
      <c r="B9" s="497"/>
      <c r="C9" s="34"/>
      <c r="D9" s="19"/>
      <c r="E9" s="11"/>
      <c r="F9" s="262">
        <f t="shared" si="0"/>
        <v>0</v>
      </c>
      <c r="G9" s="33"/>
      <c r="H9" s="18"/>
      <c r="I9" s="179">
        <f t="shared" si="1"/>
        <v>0</v>
      </c>
      <c r="J9" s="254"/>
      <c r="K9" s="254"/>
      <c r="L9" s="254"/>
      <c r="M9" s="254"/>
      <c r="N9" s="254"/>
      <c r="O9" s="254"/>
      <c r="P9" s="254"/>
      <c r="Q9" s="6"/>
      <c r="R9" s="6"/>
      <c r="S9" s="6"/>
      <c r="T9" s="6"/>
      <c r="U9" s="6"/>
      <c r="V9" s="6"/>
      <c r="W9" s="6"/>
      <c r="X9" s="6"/>
      <c r="Y9" s="6"/>
      <c r="Z9" s="6"/>
    </row>
    <row r="10" spans="1:26" ht="21.75" customHeight="1">
      <c r="A10" s="476"/>
      <c r="B10" s="497"/>
      <c r="C10" s="34"/>
      <c r="D10" s="19"/>
      <c r="E10" s="11"/>
      <c r="F10" s="260">
        <f t="shared" si="0"/>
        <v>0</v>
      </c>
      <c r="G10" s="33"/>
      <c r="H10" s="18"/>
      <c r="I10" s="179">
        <f t="shared" si="1"/>
        <v>0</v>
      </c>
      <c r="J10" s="254"/>
      <c r="K10" s="254"/>
      <c r="L10" s="254"/>
      <c r="M10" s="254"/>
      <c r="N10" s="254"/>
      <c r="O10" s="254"/>
      <c r="P10" s="254"/>
      <c r="Q10" s="6"/>
      <c r="R10" s="6"/>
      <c r="S10" s="6"/>
      <c r="T10" s="6"/>
      <c r="U10" s="6"/>
      <c r="V10" s="6"/>
      <c r="W10" s="6"/>
      <c r="X10" s="6"/>
      <c r="Y10" s="6"/>
      <c r="Z10" s="6"/>
    </row>
    <row r="11" spans="1:26" ht="21.75" customHeight="1">
      <c r="A11" s="476"/>
      <c r="B11" s="497"/>
      <c r="C11" s="34"/>
      <c r="D11" s="19"/>
      <c r="E11" s="11"/>
      <c r="F11" s="260">
        <f t="shared" si="0"/>
        <v>0</v>
      </c>
      <c r="G11" s="33"/>
      <c r="H11" s="18"/>
      <c r="I11" s="179">
        <f t="shared" si="1"/>
        <v>0</v>
      </c>
      <c r="J11" s="254"/>
      <c r="K11" s="254"/>
      <c r="L11" s="254"/>
      <c r="M11" s="254"/>
      <c r="N11" s="254"/>
      <c r="O11" s="254"/>
      <c r="P11" s="254"/>
      <c r="Q11" s="6"/>
      <c r="R11" s="6"/>
      <c r="S11" s="6"/>
      <c r="T11" s="6"/>
      <c r="U11" s="6"/>
      <c r="V11" s="6"/>
      <c r="W11" s="6"/>
      <c r="X11" s="6"/>
      <c r="Y11" s="6"/>
      <c r="Z11" s="6"/>
    </row>
    <row r="12" spans="1:26" ht="21.75" customHeight="1">
      <c r="A12" s="476"/>
      <c r="B12" s="497"/>
      <c r="C12" s="34"/>
      <c r="D12" s="19"/>
      <c r="E12" s="11"/>
      <c r="F12" s="260">
        <f t="shared" si="0"/>
        <v>0</v>
      </c>
      <c r="G12" s="33"/>
      <c r="H12" s="18"/>
      <c r="I12" s="179">
        <f t="shared" si="1"/>
        <v>0</v>
      </c>
      <c r="J12" s="254"/>
      <c r="K12" s="254"/>
      <c r="L12" s="254"/>
      <c r="M12" s="254"/>
      <c r="N12" s="254"/>
      <c r="O12" s="254"/>
      <c r="P12" s="254"/>
      <c r="Q12" s="6"/>
      <c r="R12" s="6"/>
      <c r="S12" s="6"/>
      <c r="T12" s="6"/>
      <c r="U12" s="6"/>
      <c r="V12" s="6"/>
      <c r="W12" s="6"/>
      <c r="X12" s="6"/>
      <c r="Y12" s="6"/>
      <c r="Z12" s="6"/>
    </row>
    <row r="13" spans="1:26" ht="21.75" customHeight="1">
      <c r="A13" s="476"/>
      <c r="B13" s="497"/>
      <c r="C13" s="34"/>
      <c r="D13" s="19"/>
      <c r="E13" s="11"/>
      <c r="F13" s="260">
        <f t="shared" si="0"/>
        <v>0</v>
      </c>
      <c r="G13" s="33"/>
      <c r="H13" s="18"/>
      <c r="I13" s="179">
        <f t="shared" si="1"/>
        <v>0</v>
      </c>
      <c r="J13" s="254"/>
      <c r="K13" s="254"/>
      <c r="L13" s="254"/>
      <c r="M13" s="254"/>
      <c r="N13" s="254"/>
      <c r="O13" s="254"/>
      <c r="P13" s="254"/>
      <c r="Q13" s="6"/>
      <c r="R13" s="6"/>
      <c r="S13" s="6"/>
      <c r="T13" s="6"/>
      <c r="U13" s="6"/>
      <c r="V13" s="6"/>
      <c r="W13" s="6"/>
      <c r="X13" s="6"/>
      <c r="Y13" s="6"/>
      <c r="Z13" s="6"/>
    </row>
    <row r="14" spans="1:26" ht="21.75" customHeight="1">
      <c r="A14" s="476"/>
      <c r="B14" s="497"/>
      <c r="C14" s="34"/>
      <c r="D14" s="19"/>
      <c r="E14" s="11"/>
      <c r="F14" s="260">
        <f t="shared" si="0"/>
        <v>0</v>
      </c>
      <c r="G14" s="33"/>
      <c r="H14" s="18"/>
      <c r="I14" s="179">
        <f t="shared" si="1"/>
        <v>0</v>
      </c>
      <c r="J14" s="254"/>
      <c r="K14" s="254"/>
      <c r="L14" s="254"/>
      <c r="M14" s="254"/>
      <c r="N14" s="254"/>
      <c r="O14" s="254"/>
      <c r="P14" s="254"/>
      <c r="Q14" s="6"/>
      <c r="R14" s="6"/>
      <c r="S14" s="6"/>
      <c r="T14" s="6"/>
      <c r="U14" s="6"/>
      <c r="V14" s="6"/>
      <c r="W14" s="6"/>
      <c r="X14" s="6"/>
      <c r="Y14" s="6"/>
      <c r="Z14" s="6"/>
    </row>
    <row r="15" spans="1:26" ht="21.75" customHeight="1">
      <c r="A15" s="476"/>
      <c r="B15" s="497"/>
      <c r="C15" s="34"/>
      <c r="D15" s="19"/>
      <c r="E15" s="11"/>
      <c r="F15" s="260">
        <f t="shared" si="0"/>
        <v>0</v>
      </c>
      <c r="G15" s="33"/>
      <c r="H15" s="18"/>
      <c r="I15" s="179">
        <f t="shared" si="1"/>
        <v>0</v>
      </c>
      <c r="J15" s="254"/>
      <c r="K15" s="254"/>
      <c r="L15" s="254"/>
      <c r="M15" s="254"/>
      <c r="N15" s="254"/>
      <c r="O15" s="254"/>
      <c r="P15" s="254"/>
      <c r="Q15" s="6"/>
      <c r="R15" s="6"/>
      <c r="S15" s="6"/>
      <c r="T15" s="6"/>
      <c r="U15" s="6"/>
      <c r="V15" s="6"/>
      <c r="W15" s="6"/>
      <c r="X15" s="6"/>
      <c r="Y15" s="6"/>
      <c r="Z15" s="6"/>
    </row>
    <row r="16" spans="1:26" ht="21.75" customHeight="1">
      <c r="A16" s="476"/>
      <c r="B16" s="497"/>
      <c r="C16" s="34"/>
      <c r="D16" s="19"/>
      <c r="E16" s="11"/>
      <c r="F16" s="260">
        <f t="shared" si="0"/>
        <v>0</v>
      </c>
      <c r="G16" s="33"/>
      <c r="H16" s="18"/>
      <c r="I16" s="179">
        <f t="shared" si="1"/>
        <v>0</v>
      </c>
      <c r="J16" s="254"/>
      <c r="K16" s="254"/>
      <c r="L16" s="254"/>
      <c r="M16" s="254"/>
      <c r="N16" s="254"/>
      <c r="O16" s="254"/>
      <c r="P16" s="254"/>
      <c r="Q16" s="6"/>
      <c r="R16" s="6"/>
      <c r="S16" s="6"/>
      <c r="T16" s="6"/>
      <c r="U16" s="6"/>
      <c r="V16" s="6"/>
      <c r="W16" s="6"/>
      <c r="X16" s="6"/>
      <c r="Y16" s="6"/>
      <c r="Z16" s="6"/>
    </row>
    <row r="17" spans="1:26" ht="21.75" customHeight="1">
      <c r="A17" s="476"/>
      <c r="B17" s="497"/>
      <c r="C17" s="34"/>
      <c r="D17" s="19"/>
      <c r="E17" s="11"/>
      <c r="F17" s="260">
        <f t="shared" si="0"/>
        <v>0</v>
      </c>
      <c r="G17" s="33"/>
      <c r="H17" s="18"/>
      <c r="I17" s="179">
        <f t="shared" si="1"/>
        <v>0</v>
      </c>
      <c r="J17" s="254"/>
      <c r="K17" s="254"/>
      <c r="L17" s="254"/>
      <c r="M17" s="254"/>
      <c r="N17" s="254"/>
      <c r="O17" s="254"/>
      <c r="P17" s="254"/>
      <c r="Q17" s="6"/>
      <c r="R17" s="6"/>
      <c r="S17" s="6"/>
      <c r="T17" s="6"/>
      <c r="U17" s="6"/>
      <c r="V17" s="6"/>
      <c r="W17" s="6"/>
      <c r="X17" s="6"/>
      <c r="Y17" s="6"/>
      <c r="Z17" s="6"/>
    </row>
    <row r="18" spans="1:26" ht="21.75" customHeight="1">
      <c r="A18" s="476"/>
      <c r="B18" s="497"/>
      <c r="C18" s="34"/>
      <c r="D18" s="19"/>
      <c r="E18" s="11"/>
      <c r="F18" s="263">
        <f t="shared" si="0"/>
        <v>0</v>
      </c>
      <c r="G18" s="32"/>
      <c r="H18" s="16"/>
      <c r="I18" s="182">
        <f t="shared" si="1"/>
        <v>0</v>
      </c>
      <c r="J18" s="254"/>
      <c r="K18" s="254"/>
      <c r="L18" s="254"/>
      <c r="M18" s="254"/>
      <c r="N18" s="254"/>
      <c r="O18" s="254"/>
      <c r="P18" s="254"/>
      <c r="Q18" s="6"/>
      <c r="R18" s="6"/>
      <c r="S18" s="6"/>
      <c r="T18" s="6"/>
      <c r="U18" s="6"/>
      <c r="V18" s="6"/>
      <c r="W18" s="6"/>
      <c r="X18" s="6"/>
      <c r="Y18" s="6"/>
      <c r="Z18" s="6"/>
    </row>
    <row r="19" spans="1:26" ht="15.75" customHeight="1" thickBot="1">
      <c r="A19" s="23"/>
      <c r="B19" s="24"/>
      <c r="C19" s="467" t="s">
        <v>122</v>
      </c>
      <c r="D19" s="468"/>
      <c r="E19" s="468"/>
      <c r="F19" s="25">
        <f>SUM(F6:F18)</f>
        <v>0</v>
      </c>
      <c r="G19" s="468" t="s">
        <v>123</v>
      </c>
      <c r="H19" s="468"/>
      <c r="I19" s="25">
        <f>SUM(I6:I18)</f>
        <v>0</v>
      </c>
      <c r="J19" s="255"/>
      <c r="K19" s="255"/>
      <c r="L19" s="255"/>
      <c r="M19" s="255"/>
      <c r="N19" s="255"/>
      <c r="O19" s="255"/>
      <c r="P19" s="255"/>
      <c r="Q19" s="7"/>
      <c r="R19" s="7"/>
      <c r="S19" s="7"/>
      <c r="T19" s="7"/>
      <c r="U19" s="7"/>
      <c r="V19" s="7"/>
      <c r="W19" s="7"/>
      <c r="X19" s="7"/>
      <c r="Y19" s="7"/>
      <c r="Z19" s="7"/>
    </row>
    <row r="20" spans="1:26" ht="20.149999999999999" customHeight="1" thickBot="1">
      <c r="A20" s="469" t="s">
        <v>125</v>
      </c>
      <c r="B20" s="470"/>
      <c r="C20" s="470"/>
      <c r="D20" s="470"/>
      <c r="E20" s="470"/>
      <c r="F20" s="470"/>
      <c r="G20" s="470"/>
      <c r="H20" s="470"/>
      <c r="I20" s="26">
        <f>SUM(I19,F19)</f>
        <v>0</v>
      </c>
      <c r="J20" s="255"/>
      <c r="K20" s="255"/>
      <c r="L20" s="255"/>
      <c r="M20" s="255"/>
      <c r="N20" s="255"/>
      <c r="O20" s="255"/>
      <c r="P20" s="255"/>
      <c r="Q20" s="7"/>
      <c r="R20" s="7"/>
      <c r="S20" s="7"/>
      <c r="T20" s="7"/>
      <c r="U20" s="7"/>
      <c r="V20" s="7"/>
      <c r="W20" s="7"/>
      <c r="X20" s="7"/>
      <c r="Y20" s="7"/>
      <c r="Z20" s="7"/>
    </row>
    <row r="21" spans="1:26" ht="36" customHeight="1" thickBot="1">
      <c r="A21" s="492" t="s">
        <v>212</v>
      </c>
      <c r="B21" s="493"/>
      <c r="C21" s="493"/>
      <c r="D21" s="493"/>
      <c r="E21" s="493"/>
      <c r="F21" s="493"/>
      <c r="G21" s="493"/>
      <c r="H21" s="493"/>
      <c r="I21" s="494"/>
      <c r="J21" s="255"/>
      <c r="K21" s="255"/>
      <c r="L21" s="255"/>
      <c r="M21" s="255"/>
      <c r="N21" s="255"/>
      <c r="O21" s="255"/>
      <c r="P21" s="255"/>
      <c r="Q21" s="7"/>
      <c r="R21" s="7"/>
      <c r="S21" s="7"/>
      <c r="T21" s="7"/>
      <c r="U21" s="7"/>
      <c r="V21" s="7"/>
      <c r="W21" s="7"/>
      <c r="X21" s="7"/>
      <c r="Y21" s="7"/>
      <c r="Z21" s="7"/>
    </row>
    <row r="22" spans="1:26" ht="15.5">
      <c r="A22" s="503" t="s">
        <v>93</v>
      </c>
      <c r="B22" s="504"/>
      <c r="C22" s="505" t="s">
        <v>91</v>
      </c>
      <c r="D22" s="506"/>
      <c r="E22" s="506"/>
      <c r="F22" s="507"/>
      <c r="G22" s="508" t="s">
        <v>92</v>
      </c>
      <c r="H22" s="506"/>
      <c r="I22" s="507"/>
      <c r="J22" s="256"/>
      <c r="K22" s="256"/>
      <c r="L22" s="256"/>
      <c r="M22" s="256"/>
      <c r="N22" s="256"/>
      <c r="O22" s="256"/>
      <c r="P22" s="256"/>
      <c r="Q22" s="8"/>
      <c r="R22" s="8"/>
      <c r="S22" s="8"/>
      <c r="T22" s="8"/>
      <c r="U22" s="8"/>
      <c r="V22" s="8"/>
      <c r="W22" s="8"/>
      <c r="X22" s="8"/>
      <c r="Y22" s="8"/>
      <c r="Z22" s="8"/>
    </row>
    <row r="23" spans="1:26" ht="15.75" customHeight="1" thickBot="1">
      <c r="A23" s="454"/>
      <c r="B23" s="500"/>
      <c r="C23" s="37" t="s">
        <v>129</v>
      </c>
      <c r="D23" s="27" t="s">
        <v>95</v>
      </c>
      <c r="E23" s="28" t="s">
        <v>61</v>
      </c>
      <c r="F23" s="38" t="s">
        <v>79</v>
      </c>
      <c r="G23" s="29" t="s">
        <v>96</v>
      </c>
      <c r="H23" s="30" t="s">
        <v>85</v>
      </c>
      <c r="I23" s="31" t="s">
        <v>79</v>
      </c>
      <c r="J23" s="256"/>
      <c r="K23" s="256"/>
      <c r="L23" s="256"/>
      <c r="M23" s="256"/>
      <c r="N23" s="256"/>
      <c r="O23" s="256"/>
      <c r="P23" s="256"/>
      <c r="Q23" s="8"/>
      <c r="R23" s="8"/>
      <c r="S23" s="8"/>
      <c r="T23" s="8"/>
      <c r="U23" s="8"/>
      <c r="V23" s="8"/>
      <c r="W23" s="8"/>
      <c r="X23" s="8"/>
      <c r="Y23" s="8"/>
      <c r="Z23" s="8"/>
    </row>
    <row r="24" spans="1:26" ht="21.75" customHeight="1">
      <c r="A24" s="471"/>
      <c r="B24" s="497"/>
      <c r="C24" s="39">
        <v>1</v>
      </c>
      <c r="D24" s="20"/>
      <c r="E24" s="12">
        <v>0</v>
      </c>
      <c r="F24" s="40">
        <f t="shared" ref="F24:F36" si="2">C24*E24</f>
        <v>0</v>
      </c>
      <c r="G24" s="35">
        <v>1</v>
      </c>
      <c r="H24" s="12">
        <v>0</v>
      </c>
      <c r="I24" s="264">
        <f>G24*H24</f>
        <v>0</v>
      </c>
      <c r="J24" s="252"/>
      <c r="K24" s="252"/>
      <c r="L24" s="252"/>
      <c r="M24" s="252"/>
      <c r="N24" s="252"/>
      <c r="O24" s="252"/>
      <c r="P24" s="252"/>
    </row>
    <row r="25" spans="1:26" ht="21.75" customHeight="1">
      <c r="A25" s="471"/>
      <c r="B25" s="497"/>
      <c r="C25" s="39"/>
      <c r="D25" s="20"/>
      <c r="E25" s="12"/>
      <c r="F25" s="40">
        <f t="shared" si="2"/>
        <v>0</v>
      </c>
      <c r="G25" s="35"/>
      <c r="H25" s="12"/>
      <c r="I25" s="206">
        <f t="shared" ref="I25:I36" si="3">G25*H25</f>
        <v>0</v>
      </c>
      <c r="J25" s="252"/>
      <c r="K25" s="252"/>
      <c r="L25" s="252"/>
      <c r="M25" s="252"/>
      <c r="N25" s="252"/>
      <c r="O25" s="252"/>
      <c r="P25" s="252"/>
    </row>
    <row r="26" spans="1:26" ht="21.75" customHeight="1">
      <c r="A26" s="471"/>
      <c r="B26" s="497"/>
      <c r="C26" s="39"/>
      <c r="D26" s="20"/>
      <c r="E26" s="12"/>
      <c r="F26" s="40">
        <f t="shared" si="2"/>
        <v>0</v>
      </c>
      <c r="G26" s="35"/>
      <c r="H26" s="12"/>
      <c r="I26" s="206">
        <f t="shared" si="3"/>
        <v>0</v>
      </c>
      <c r="J26" s="252"/>
      <c r="K26" s="252"/>
      <c r="L26" s="252"/>
      <c r="M26" s="252"/>
      <c r="N26" s="252"/>
      <c r="O26" s="252"/>
      <c r="P26" s="252"/>
    </row>
    <row r="27" spans="1:26" ht="21.75" customHeight="1">
      <c r="A27" s="471"/>
      <c r="B27" s="497"/>
      <c r="C27" s="39"/>
      <c r="D27" s="20"/>
      <c r="E27" s="12"/>
      <c r="F27" s="40">
        <f t="shared" si="2"/>
        <v>0</v>
      </c>
      <c r="G27" s="35"/>
      <c r="H27" s="12"/>
      <c r="I27" s="206">
        <f t="shared" si="3"/>
        <v>0</v>
      </c>
      <c r="J27" s="252"/>
      <c r="K27" s="252"/>
      <c r="L27" s="252"/>
      <c r="M27" s="252"/>
      <c r="N27" s="252"/>
      <c r="O27" s="252"/>
      <c r="P27" s="252"/>
    </row>
    <row r="28" spans="1:26" ht="21.75" customHeight="1">
      <c r="A28" s="471"/>
      <c r="B28" s="497"/>
      <c r="C28" s="39"/>
      <c r="D28" s="20"/>
      <c r="E28" s="12"/>
      <c r="F28" s="40">
        <f t="shared" si="2"/>
        <v>0</v>
      </c>
      <c r="G28" s="35"/>
      <c r="H28" s="12"/>
      <c r="I28" s="206">
        <f t="shared" si="3"/>
        <v>0</v>
      </c>
      <c r="J28" s="252"/>
      <c r="K28" s="252"/>
      <c r="L28" s="252"/>
      <c r="M28" s="252"/>
      <c r="N28" s="252"/>
      <c r="O28" s="252"/>
      <c r="P28" s="252"/>
    </row>
    <row r="29" spans="1:26" ht="21.75" customHeight="1">
      <c r="A29" s="471"/>
      <c r="B29" s="497"/>
      <c r="C29" s="39"/>
      <c r="D29" s="20"/>
      <c r="E29" s="12"/>
      <c r="F29" s="40">
        <f t="shared" si="2"/>
        <v>0</v>
      </c>
      <c r="G29" s="35"/>
      <c r="H29" s="12"/>
      <c r="I29" s="206">
        <f t="shared" si="3"/>
        <v>0</v>
      </c>
      <c r="J29" s="252"/>
      <c r="K29" s="252"/>
      <c r="L29" s="252"/>
      <c r="M29" s="252"/>
      <c r="N29" s="252"/>
      <c r="O29" s="252"/>
      <c r="P29" s="252"/>
    </row>
    <row r="30" spans="1:26" ht="21.75" customHeight="1">
      <c r="A30" s="471"/>
      <c r="B30" s="497"/>
      <c r="C30" s="39"/>
      <c r="D30" s="20"/>
      <c r="E30" s="12"/>
      <c r="F30" s="40">
        <f t="shared" si="2"/>
        <v>0</v>
      </c>
      <c r="G30" s="35"/>
      <c r="H30" s="12"/>
      <c r="I30" s="206">
        <f t="shared" si="3"/>
        <v>0</v>
      </c>
      <c r="J30" s="252"/>
      <c r="K30" s="252"/>
      <c r="L30" s="252"/>
      <c r="M30" s="252"/>
      <c r="N30" s="252"/>
      <c r="O30" s="252"/>
      <c r="P30" s="252"/>
    </row>
    <row r="31" spans="1:26" ht="21.75" customHeight="1">
      <c r="A31" s="471"/>
      <c r="B31" s="497"/>
      <c r="C31" s="39"/>
      <c r="D31" s="20"/>
      <c r="E31" s="12"/>
      <c r="F31" s="40">
        <f t="shared" si="2"/>
        <v>0</v>
      </c>
      <c r="G31" s="35"/>
      <c r="H31" s="12"/>
      <c r="I31" s="206">
        <f t="shared" si="3"/>
        <v>0</v>
      </c>
      <c r="J31" s="252"/>
      <c r="K31" s="252"/>
      <c r="L31" s="252"/>
      <c r="M31" s="252"/>
      <c r="N31" s="252"/>
      <c r="O31" s="252"/>
      <c r="P31" s="252"/>
    </row>
    <row r="32" spans="1:26" ht="21.75" customHeight="1">
      <c r="A32" s="471"/>
      <c r="B32" s="497"/>
      <c r="C32" s="39"/>
      <c r="D32" s="20"/>
      <c r="E32" s="12"/>
      <c r="F32" s="40">
        <f t="shared" si="2"/>
        <v>0</v>
      </c>
      <c r="G32" s="35"/>
      <c r="H32" s="12"/>
      <c r="I32" s="206">
        <f t="shared" si="3"/>
        <v>0</v>
      </c>
      <c r="J32" s="252"/>
      <c r="K32" s="252"/>
      <c r="L32" s="252"/>
      <c r="M32" s="252"/>
      <c r="N32" s="252"/>
      <c r="O32" s="252"/>
      <c r="P32" s="252"/>
    </row>
    <row r="33" spans="1:16" ht="21.75" customHeight="1">
      <c r="A33" s="471"/>
      <c r="B33" s="497"/>
      <c r="C33" s="39"/>
      <c r="D33" s="20"/>
      <c r="E33" s="12"/>
      <c r="F33" s="40">
        <f t="shared" si="2"/>
        <v>0</v>
      </c>
      <c r="G33" s="35"/>
      <c r="H33" s="12"/>
      <c r="I33" s="206">
        <f t="shared" si="3"/>
        <v>0</v>
      </c>
      <c r="J33" s="252"/>
      <c r="K33" s="252"/>
      <c r="L33" s="252"/>
      <c r="M33" s="252"/>
      <c r="N33" s="252"/>
      <c r="O33" s="252"/>
      <c r="P33" s="252"/>
    </row>
    <row r="34" spans="1:16" ht="21.75" customHeight="1">
      <c r="A34" s="471"/>
      <c r="B34" s="497"/>
      <c r="C34" s="39"/>
      <c r="D34" s="20"/>
      <c r="E34" s="12"/>
      <c r="F34" s="40">
        <f t="shared" si="2"/>
        <v>0</v>
      </c>
      <c r="G34" s="35"/>
      <c r="H34" s="12"/>
      <c r="I34" s="206">
        <f t="shared" si="3"/>
        <v>0</v>
      </c>
      <c r="J34" s="252"/>
      <c r="K34" s="252"/>
      <c r="L34" s="252"/>
      <c r="M34" s="252"/>
      <c r="N34" s="252"/>
      <c r="O34" s="252"/>
      <c r="P34" s="252"/>
    </row>
    <row r="35" spans="1:16" ht="21.75" customHeight="1">
      <c r="A35" s="471"/>
      <c r="B35" s="497"/>
      <c r="C35" s="39"/>
      <c r="D35" s="20"/>
      <c r="E35" s="12"/>
      <c r="F35" s="40">
        <f t="shared" si="2"/>
        <v>0</v>
      </c>
      <c r="G35" s="35"/>
      <c r="H35" s="12"/>
      <c r="I35" s="206">
        <f t="shared" si="3"/>
        <v>0</v>
      </c>
      <c r="J35" s="252"/>
      <c r="K35" s="252"/>
      <c r="L35" s="252"/>
      <c r="M35" s="252"/>
      <c r="N35" s="252"/>
      <c r="O35" s="252"/>
      <c r="P35" s="252"/>
    </row>
    <row r="36" spans="1:16" ht="21.75" customHeight="1">
      <c r="A36" s="471"/>
      <c r="B36" s="497"/>
      <c r="C36" s="41"/>
      <c r="D36" s="21"/>
      <c r="E36" s="13"/>
      <c r="F36" s="42">
        <f t="shared" si="2"/>
        <v>0</v>
      </c>
      <c r="G36" s="36"/>
      <c r="H36" s="13"/>
      <c r="I36" s="265">
        <f t="shared" si="3"/>
        <v>0</v>
      </c>
      <c r="J36" s="252"/>
      <c r="K36" s="252"/>
      <c r="L36" s="252"/>
      <c r="M36" s="252"/>
      <c r="N36" s="252"/>
      <c r="O36" s="252"/>
      <c r="P36" s="252"/>
    </row>
    <row r="37" spans="1:16" ht="15.75" customHeight="1" thickBot="1">
      <c r="A37" s="23"/>
      <c r="B37" s="24"/>
      <c r="C37" s="473" t="s">
        <v>122</v>
      </c>
      <c r="D37" s="474"/>
      <c r="E37" s="475"/>
      <c r="F37" s="266">
        <f>SUM(F24:F36)</f>
        <v>0</v>
      </c>
      <c r="G37" s="501" t="s">
        <v>123</v>
      </c>
      <c r="H37" s="502"/>
      <c r="I37" s="266">
        <f>SUM(I24:I36)</f>
        <v>0</v>
      </c>
      <c r="J37" s="252"/>
      <c r="K37" s="252"/>
      <c r="L37" s="252"/>
      <c r="M37" s="252"/>
      <c r="N37" s="252"/>
      <c r="O37" s="252"/>
      <c r="P37" s="252"/>
    </row>
    <row r="38" spans="1:16" ht="20.149999999999999" customHeight="1" thickBot="1">
      <c r="A38" s="469" t="s">
        <v>124</v>
      </c>
      <c r="B38" s="470"/>
      <c r="C38" s="470"/>
      <c r="D38" s="470"/>
      <c r="E38" s="470"/>
      <c r="F38" s="470"/>
      <c r="G38" s="470"/>
      <c r="H38" s="470"/>
      <c r="I38" s="267">
        <f>SUM(I37,F37)</f>
        <v>0</v>
      </c>
      <c r="J38" s="252"/>
      <c r="K38" s="252"/>
      <c r="L38" s="252"/>
      <c r="M38" s="252"/>
      <c r="N38" s="252"/>
      <c r="O38" s="252"/>
      <c r="P38" s="252"/>
    </row>
    <row r="39" spans="1:16" ht="15.75" customHeight="1">
      <c r="A39" s="252"/>
      <c r="B39" s="252"/>
      <c r="C39" s="252"/>
      <c r="D39" s="252"/>
      <c r="E39" s="257"/>
      <c r="F39" s="252"/>
      <c r="G39" s="252"/>
      <c r="H39" s="252"/>
      <c r="I39" s="252"/>
      <c r="J39" s="252"/>
      <c r="K39" s="252"/>
      <c r="L39" s="252"/>
      <c r="M39" s="252"/>
      <c r="N39" s="252"/>
      <c r="O39" s="252"/>
      <c r="P39" s="252"/>
    </row>
    <row r="40" spans="1:16" ht="15.75" customHeight="1">
      <c r="A40" s="252"/>
      <c r="B40" s="252"/>
      <c r="C40" s="252"/>
      <c r="D40" s="252"/>
      <c r="E40" s="257"/>
      <c r="F40" s="252"/>
      <c r="G40" s="252"/>
      <c r="H40" s="252"/>
      <c r="I40" s="252"/>
      <c r="J40" s="252"/>
      <c r="K40" s="252"/>
      <c r="L40" s="252"/>
      <c r="M40" s="252"/>
      <c r="N40" s="252"/>
      <c r="O40" s="252"/>
      <c r="P40" s="252"/>
    </row>
    <row r="41" spans="1:16" ht="15.75" customHeight="1">
      <c r="A41" s="252"/>
      <c r="B41" s="252"/>
      <c r="C41" s="252"/>
      <c r="D41" s="252"/>
      <c r="E41" s="257"/>
      <c r="F41" s="252"/>
      <c r="G41" s="252"/>
      <c r="H41" s="252"/>
      <c r="I41" s="252"/>
      <c r="J41" s="252"/>
      <c r="K41" s="252"/>
      <c r="L41" s="252"/>
      <c r="M41" s="252"/>
      <c r="N41" s="252"/>
      <c r="O41" s="252"/>
      <c r="P41" s="252"/>
    </row>
    <row r="42" spans="1:16" ht="15.75" customHeight="1">
      <c r="A42" s="252"/>
      <c r="B42" s="252"/>
      <c r="C42" s="252"/>
      <c r="D42" s="252"/>
      <c r="E42" s="257"/>
      <c r="F42" s="252"/>
      <c r="G42" s="252"/>
      <c r="H42" s="252"/>
      <c r="I42" s="252"/>
      <c r="J42" s="252"/>
      <c r="K42" s="252"/>
      <c r="L42" s="252"/>
      <c r="M42" s="252"/>
      <c r="N42" s="252"/>
      <c r="O42" s="252"/>
      <c r="P42" s="252"/>
    </row>
    <row r="43" spans="1:16" ht="15.75" customHeight="1">
      <c r="A43" s="252"/>
      <c r="B43" s="252"/>
      <c r="C43" s="252"/>
      <c r="D43" s="252"/>
      <c r="E43" s="257"/>
      <c r="F43" s="252"/>
      <c r="G43" s="252"/>
      <c r="H43" s="252"/>
      <c r="I43" s="252"/>
      <c r="J43" s="252"/>
      <c r="K43" s="252"/>
      <c r="L43" s="252"/>
      <c r="M43" s="252"/>
      <c r="N43" s="252"/>
      <c r="O43" s="252"/>
      <c r="P43" s="252"/>
    </row>
    <row r="44" spans="1:16" ht="15.75" customHeight="1">
      <c r="A44" s="252"/>
      <c r="B44" s="252"/>
      <c r="C44" s="252"/>
      <c r="D44" s="252"/>
      <c r="E44" s="257"/>
      <c r="F44" s="252"/>
      <c r="G44" s="252"/>
      <c r="H44" s="252"/>
      <c r="I44" s="252"/>
      <c r="J44" s="252"/>
      <c r="K44" s="252"/>
      <c r="L44" s="252"/>
      <c r="M44" s="252"/>
      <c r="N44" s="252"/>
      <c r="O44" s="252"/>
      <c r="P44" s="252"/>
    </row>
    <row r="45" spans="1:16" ht="15.75" customHeight="1">
      <c r="A45" s="252"/>
      <c r="B45" s="252"/>
      <c r="C45" s="252"/>
      <c r="D45" s="252"/>
      <c r="E45" s="257"/>
      <c r="F45" s="252"/>
      <c r="G45" s="252"/>
      <c r="H45" s="252"/>
      <c r="I45" s="252"/>
      <c r="J45" s="252"/>
      <c r="K45" s="252"/>
      <c r="L45" s="252"/>
      <c r="M45" s="252"/>
      <c r="N45" s="252"/>
      <c r="O45" s="252"/>
      <c r="P45" s="252"/>
    </row>
    <row r="46" spans="1:16" ht="15.75" customHeight="1">
      <c r="A46" s="252"/>
      <c r="B46" s="252"/>
      <c r="C46" s="252"/>
      <c r="D46" s="252"/>
      <c r="E46" s="257"/>
      <c r="F46" s="252"/>
      <c r="G46" s="252"/>
      <c r="H46" s="252"/>
      <c r="I46" s="252"/>
      <c r="J46" s="252"/>
      <c r="K46" s="252"/>
      <c r="L46" s="252"/>
      <c r="M46" s="252"/>
      <c r="N46" s="252"/>
      <c r="O46" s="252"/>
      <c r="P46" s="252"/>
    </row>
    <row r="47" spans="1:16" ht="15.75" customHeight="1">
      <c r="A47" s="252"/>
      <c r="B47" s="252"/>
      <c r="C47" s="252"/>
      <c r="D47" s="252"/>
      <c r="E47" s="257"/>
      <c r="F47" s="252"/>
      <c r="G47" s="252"/>
      <c r="H47" s="252"/>
      <c r="I47" s="252"/>
      <c r="J47" s="252"/>
      <c r="K47" s="252"/>
      <c r="L47" s="252"/>
      <c r="M47" s="252"/>
      <c r="N47" s="252"/>
      <c r="O47" s="252"/>
      <c r="P47" s="252"/>
    </row>
    <row r="48" spans="1:16" ht="15.75" customHeight="1">
      <c r="A48" s="252"/>
      <c r="B48" s="252"/>
      <c r="C48" s="252"/>
      <c r="D48" s="252"/>
      <c r="E48" s="257"/>
      <c r="F48" s="252"/>
      <c r="G48" s="252"/>
      <c r="H48" s="252"/>
      <c r="I48" s="252"/>
      <c r="J48" s="252"/>
      <c r="K48" s="252"/>
      <c r="L48" s="252"/>
      <c r="M48" s="252"/>
      <c r="N48" s="252"/>
      <c r="O48" s="252"/>
      <c r="P48" s="252"/>
    </row>
    <row r="49" spans="1:16" ht="15.75" customHeight="1">
      <c r="A49" s="252"/>
      <c r="B49" s="252"/>
      <c r="C49" s="252"/>
      <c r="D49" s="252"/>
      <c r="E49" s="257"/>
      <c r="F49" s="252"/>
      <c r="G49" s="252"/>
      <c r="H49" s="252"/>
      <c r="I49" s="252"/>
      <c r="J49" s="252"/>
      <c r="K49" s="252"/>
      <c r="L49" s="252"/>
      <c r="M49" s="252"/>
      <c r="N49" s="252"/>
      <c r="O49" s="252"/>
      <c r="P49" s="252"/>
    </row>
    <row r="50" spans="1:16" ht="15.75" customHeight="1">
      <c r="A50" s="252"/>
      <c r="B50" s="252"/>
      <c r="C50" s="252"/>
      <c r="D50" s="252"/>
      <c r="E50" s="257"/>
      <c r="F50" s="252"/>
      <c r="G50" s="252"/>
      <c r="H50" s="252"/>
      <c r="I50" s="252"/>
      <c r="J50" s="252"/>
      <c r="K50" s="252"/>
      <c r="L50" s="252"/>
      <c r="M50" s="252"/>
      <c r="N50" s="252"/>
      <c r="O50" s="252"/>
      <c r="P50" s="252"/>
    </row>
    <row r="51" spans="1:16" ht="15.75" customHeight="1">
      <c r="A51" s="252"/>
      <c r="B51" s="252"/>
      <c r="C51" s="252"/>
      <c r="D51" s="252"/>
      <c r="E51" s="257"/>
      <c r="F51" s="252"/>
      <c r="G51" s="252"/>
      <c r="H51" s="252"/>
      <c r="I51" s="252"/>
      <c r="J51" s="252"/>
      <c r="K51" s="252"/>
      <c r="L51" s="252"/>
      <c r="M51" s="252"/>
      <c r="N51" s="252"/>
      <c r="O51" s="252"/>
      <c r="P51" s="252"/>
    </row>
    <row r="52" spans="1:16" ht="15.75" customHeight="1">
      <c r="A52" s="252"/>
      <c r="B52" s="252"/>
      <c r="C52" s="252"/>
      <c r="D52" s="252"/>
      <c r="E52" s="257"/>
      <c r="F52" s="252"/>
      <c r="G52" s="252"/>
      <c r="H52" s="252"/>
      <c r="I52" s="252"/>
      <c r="J52" s="252"/>
      <c r="K52" s="252"/>
      <c r="L52" s="252"/>
      <c r="M52" s="252"/>
      <c r="N52" s="252"/>
      <c r="O52" s="252"/>
      <c r="P52" s="252"/>
    </row>
    <row r="53" spans="1:16" ht="15.75" customHeight="1">
      <c r="A53" s="252"/>
      <c r="B53" s="252"/>
      <c r="C53" s="252"/>
      <c r="D53" s="252"/>
      <c r="E53" s="257"/>
      <c r="F53" s="252"/>
      <c r="G53" s="252"/>
      <c r="H53" s="252"/>
      <c r="I53" s="252"/>
      <c r="J53" s="252"/>
      <c r="K53" s="252"/>
      <c r="L53" s="252"/>
      <c r="M53" s="252"/>
      <c r="N53" s="252"/>
      <c r="O53" s="252"/>
      <c r="P53" s="252"/>
    </row>
    <row r="54" spans="1:16" ht="15.75" customHeight="1">
      <c r="E54" s="9"/>
    </row>
    <row r="55" spans="1:16" ht="15.75" customHeight="1">
      <c r="E55" s="9"/>
    </row>
    <row r="56" spans="1:16" ht="15.75" customHeight="1">
      <c r="E56" s="9"/>
    </row>
    <row r="57" spans="1:16" ht="15.75" customHeight="1">
      <c r="E57" s="9"/>
    </row>
    <row r="58" spans="1:16" ht="15.75" customHeight="1">
      <c r="E58" s="9"/>
    </row>
    <row r="59" spans="1:16" ht="15.75" customHeight="1">
      <c r="E59" s="9"/>
    </row>
    <row r="60" spans="1:16" ht="15.75" customHeight="1">
      <c r="E60" s="9"/>
    </row>
    <row r="61" spans="1:16" ht="15.75" customHeight="1">
      <c r="E61" s="9"/>
    </row>
    <row r="62" spans="1:16" ht="15.75" customHeight="1">
      <c r="E62" s="9"/>
    </row>
    <row r="63" spans="1:16" ht="15.75" customHeight="1">
      <c r="E63" s="9"/>
    </row>
    <row r="64" spans="1:16"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6:B6"/>
    <mergeCell ref="A1:F2"/>
    <mergeCell ref="A3:I3"/>
    <mergeCell ref="A4:B5"/>
    <mergeCell ref="C4:F4"/>
    <mergeCell ref="G4:I4"/>
    <mergeCell ref="A18:B18"/>
    <mergeCell ref="A7:B7"/>
    <mergeCell ref="A8:B8"/>
    <mergeCell ref="A9:B9"/>
    <mergeCell ref="A10:B10"/>
    <mergeCell ref="A11:B11"/>
    <mergeCell ref="A12:B12"/>
    <mergeCell ref="A13:B13"/>
    <mergeCell ref="A14:B14"/>
    <mergeCell ref="A15:B15"/>
    <mergeCell ref="A16:B16"/>
    <mergeCell ref="A17:B17"/>
    <mergeCell ref="A29:B29"/>
    <mergeCell ref="C19:E19"/>
    <mergeCell ref="G19:H19"/>
    <mergeCell ref="A20:H20"/>
    <mergeCell ref="A21:I21"/>
    <mergeCell ref="A22:B23"/>
    <mergeCell ref="C22:F22"/>
    <mergeCell ref="G22:I22"/>
    <mergeCell ref="A24:B24"/>
    <mergeCell ref="A25:B25"/>
    <mergeCell ref="A26:B26"/>
    <mergeCell ref="A27:B27"/>
    <mergeCell ref="A28:B28"/>
    <mergeCell ref="A36:B36"/>
    <mergeCell ref="C37:E37"/>
    <mergeCell ref="G37:H37"/>
    <mergeCell ref="A38:H38"/>
    <mergeCell ref="A30:B30"/>
    <mergeCell ref="A31:B31"/>
    <mergeCell ref="A32:B32"/>
    <mergeCell ref="A33:B33"/>
    <mergeCell ref="A34:B34"/>
    <mergeCell ref="A35:B35"/>
  </mergeCells>
  <conditionalFormatting sqref="G2:H2">
    <cfRule type="expression" dxfId="1" priority="1" stopIfTrue="1">
      <formula>"MM/DD/YY"</formula>
    </cfRule>
  </conditionalFormatting>
  <printOptions horizontalCentered="1"/>
  <pageMargins left="0.5" right="0.5" top="1" bottom="1" header="0" footer="0"/>
  <pageSetup scale="79" fitToHeight="0" orientation="portrait" r:id="rId1"/>
  <drawing r:id="rId2"/>
  <legacyDrawing r:id="rId3"/>
  <controls>
    <mc:AlternateContent xmlns:mc="http://schemas.openxmlformats.org/markup-compatibility/2006">
      <mc:Choice Requires="x14">
        <control shapeId="28673" r:id="rId4" name="CommandButton1">
          <controlPr defaultSize="0" autoLine="0" altText="Add A Row Command Button" r:id="rId5">
            <anchor moveWithCells="1">
              <from>
                <xdr:col>9</xdr:col>
                <xdr:colOff>266700</xdr:colOff>
                <xdr:row>17</xdr:row>
                <xdr:rowOff>0</xdr:rowOff>
              </from>
              <to>
                <xdr:col>11</xdr:col>
                <xdr:colOff>393700</xdr:colOff>
                <xdr:row>18</xdr:row>
                <xdr:rowOff>12700</xdr:rowOff>
              </to>
            </anchor>
          </controlPr>
        </control>
      </mc:Choice>
      <mc:Fallback>
        <control shapeId="28673" r:id="rId4" name="CommandButton1"/>
      </mc:Fallback>
    </mc:AlternateContent>
  </control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E3404-033B-49AA-91AB-64115EBEEFD9}">
  <sheetPr codeName="Sheet28">
    <pageSetUpPr fitToPage="1"/>
  </sheetPr>
  <dimension ref="A1:Z1003"/>
  <sheetViews>
    <sheetView topLeftCell="C6" zoomScaleNormal="100" zoomScalePageLayoutView="90" workbookViewId="0">
      <selection activeCell="M16" sqref="M16"/>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239</v>
      </c>
      <c r="B1" s="387"/>
      <c r="C1" s="387"/>
      <c r="D1" s="387"/>
      <c r="E1" s="387"/>
      <c r="F1" s="387"/>
      <c r="G1" s="258" t="s">
        <v>165</v>
      </c>
      <c r="H1" s="259"/>
      <c r="I1" s="162" t="s">
        <v>166</v>
      </c>
      <c r="J1" s="252"/>
      <c r="K1" s="252"/>
      <c r="L1" s="252"/>
      <c r="M1" s="252"/>
      <c r="N1" s="252"/>
      <c r="O1" s="252"/>
      <c r="P1" s="252"/>
    </row>
    <row r="2" spans="1:26" ht="15" customHeight="1" thickBot="1">
      <c r="A2" s="388"/>
      <c r="B2" s="389"/>
      <c r="C2" s="389"/>
      <c r="D2" s="389"/>
      <c r="E2" s="389"/>
      <c r="F2" s="389"/>
      <c r="G2" s="163" t="str">
        <f>IF(INPUT!C3=0,"",INPUT!C3)</f>
        <v>RLP # 36C248-25-R-0110 – EXHIBIT K</v>
      </c>
      <c r="H2" s="163"/>
      <c r="I2" s="164" t="str">
        <f>IF(INPUT!C10=0,"",INPUT!C10)</f>
        <v/>
      </c>
      <c r="J2" s="252"/>
      <c r="K2" s="252"/>
      <c r="L2" s="252"/>
      <c r="M2" s="252"/>
      <c r="N2" s="252"/>
      <c r="O2" s="252"/>
      <c r="P2" s="252"/>
    </row>
    <row r="3" spans="1:26" s="10" customFormat="1" ht="36" customHeight="1" thickBot="1">
      <c r="A3" s="480" t="s">
        <v>213</v>
      </c>
      <c r="B3" s="402"/>
      <c r="C3" s="402"/>
      <c r="D3" s="402"/>
      <c r="E3" s="402"/>
      <c r="F3" s="402"/>
      <c r="G3" s="402"/>
      <c r="H3" s="402"/>
      <c r="I3" s="403"/>
      <c r="J3" s="253"/>
      <c r="K3" s="253"/>
      <c r="L3" s="253"/>
      <c r="M3" s="253"/>
      <c r="N3" s="253"/>
      <c r="O3" s="253"/>
      <c r="P3" s="253"/>
    </row>
    <row r="4" spans="1:26" ht="15.5">
      <c r="A4" s="498" t="s">
        <v>93</v>
      </c>
      <c r="B4" s="499"/>
      <c r="C4" s="390" t="s">
        <v>91</v>
      </c>
      <c r="D4" s="382"/>
      <c r="E4" s="382"/>
      <c r="F4" s="383"/>
      <c r="G4" s="509" t="s">
        <v>92</v>
      </c>
      <c r="H4" s="510"/>
      <c r="I4" s="511"/>
      <c r="J4" s="252"/>
      <c r="K4" s="252"/>
      <c r="L4" s="252"/>
      <c r="M4" s="252"/>
      <c r="N4" s="252"/>
      <c r="O4" s="252"/>
      <c r="P4" s="252"/>
    </row>
    <row r="5" spans="1:26" ht="15.75" customHeight="1" thickBot="1">
      <c r="A5" s="454"/>
      <c r="B5" s="500"/>
      <c r="C5" s="37" t="s">
        <v>129</v>
      </c>
      <c r="D5" s="27" t="s">
        <v>95</v>
      </c>
      <c r="E5" s="28" t="s">
        <v>61</v>
      </c>
      <c r="F5" s="38" t="s">
        <v>79</v>
      </c>
      <c r="G5" s="29" t="s">
        <v>96</v>
      </c>
      <c r="H5" s="30" t="s">
        <v>85</v>
      </c>
      <c r="I5" s="31" t="s">
        <v>79</v>
      </c>
      <c r="J5" s="252"/>
      <c r="K5" s="252"/>
      <c r="L5" s="252"/>
      <c r="M5" s="252"/>
      <c r="N5" s="252"/>
      <c r="O5" s="252"/>
      <c r="P5" s="252"/>
    </row>
    <row r="6" spans="1:26" ht="21.75" customHeight="1">
      <c r="A6" s="476" t="s">
        <v>149</v>
      </c>
      <c r="B6" s="497"/>
      <c r="C6" s="34">
        <v>1</v>
      </c>
      <c r="D6" s="19" t="s">
        <v>148</v>
      </c>
      <c r="E6" s="11">
        <v>0</v>
      </c>
      <c r="F6" s="260">
        <f t="shared" ref="F6:F18" si="0">C6*E6</f>
        <v>0</v>
      </c>
      <c r="G6" s="32">
        <v>1</v>
      </c>
      <c r="H6" s="17">
        <v>0</v>
      </c>
      <c r="I6" s="261">
        <f t="shared" ref="I6:I18" si="1">G6*H6</f>
        <v>0</v>
      </c>
      <c r="J6" s="254"/>
      <c r="K6" s="254"/>
      <c r="L6" s="254"/>
      <c r="M6" s="254"/>
      <c r="N6" s="254"/>
      <c r="O6" s="254"/>
      <c r="P6" s="254"/>
      <c r="Q6" s="6"/>
      <c r="R6" s="6"/>
      <c r="S6" s="6"/>
      <c r="T6" s="6"/>
      <c r="U6" s="6"/>
      <c r="V6" s="6"/>
      <c r="W6" s="6"/>
      <c r="X6" s="6"/>
      <c r="Y6" s="6"/>
      <c r="Z6" s="6"/>
    </row>
    <row r="7" spans="1:26" ht="21.75" customHeight="1">
      <c r="A7" s="476"/>
      <c r="B7" s="497"/>
      <c r="C7" s="34"/>
      <c r="D7" s="19"/>
      <c r="E7" s="11"/>
      <c r="F7" s="260">
        <f>C7*E7</f>
        <v>0</v>
      </c>
      <c r="G7" s="33"/>
      <c r="H7" s="18"/>
      <c r="I7" s="179">
        <f t="shared" si="1"/>
        <v>0</v>
      </c>
      <c r="J7" s="254"/>
      <c r="K7" s="254"/>
      <c r="L7" s="254"/>
      <c r="M7" s="254"/>
      <c r="N7" s="254"/>
      <c r="O7" s="254"/>
      <c r="P7" s="254"/>
      <c r="Q7" s="6"/>
      <c r="R7" s="6"/>
      <c r="S7" s="6"/>
      <c r="T7" s="6"/>
      <c r="U7" s="6"/>
      <c r="V7" s="6"/>
      <c r="W7" s="6"/>
      <c r="X7" s="6"/>
      <c r="Y7" s="6"/>
      <c r="Z7" s="6"/>
    </row>
    <row r="8" spans="1:26" ht="21.75" customHeight="1">
      <c r="A8" s="476"/>
      <c r="B8" s="497"/>
      <c r="C8" s="34"/>
      <c r="D8" s="19"/>
      <c r="E8" s="11"/>
      <c r="F8" s="262">
        <f t="shared" si="0"/>
        <v>0</v>
      </c>
      <c r="G8" s="33"/>
      <c r="H8" s="18"/>
      <c r="I8" s="179">
        <f t="shared" si="1"/>
        <v>0</v>
      </c>
      <c r="J8" s="254"/>
      <c r="K8" s="254"/>
      <c r="L8" s="254"/>
      <c r="M8" s="254"/>
      <c r="N8" s="254"/>
      <c r="O8" s="254"/>
      <c r="P8" s="254"/>
      <c r="Q8" s="6"/>
      <c r="R8" s="6"/>
      <c r="S8" s="6"/>
      <c r="T8" s="6"/>
      <c r="U8" s="6"/>
      <c r="V8" s="6"/>
      <c r="W8" s="6"/>
      <c r="X8" s="6"/>
      <c r="Y8" s="6"/>
      <c r="Z8" s="6"/>
    </row>
    <row r="9" spans="1:26" ht="21.75" customHeight="1">
      <c r="A9" s="476"/>
      <c r="B9" s="497"/>
      <c r="C9" s="34"/>
      <c r="D9" s="19"/>
      <c r="E9" s="11"/>
      <c r="F9" s="262">
        <f t="shared" si="0"/>
        <v>0</v>
      </c>
      <c r="G9" s="33"/>
      <c r="H9" s="18"/>
      <c r="I9" s="179">
        <f t="shared" si="1"/>
        <v>0</v>
      </c>
      <c r="J9" s="254"/>
      <c r="K9" s="254"/>
      <c r="L9" s="254"/>
      <c r="M9" s="254"/>
      <c r="N9" s="254"/>
      <c r="O9" s="254"/>
      <c r="P9" s="254"/>
      <c r="Q9" s="6"/>
      <c r="R9" s="6"/>
      <c r="S9" s="6"/>
      <c r="T9" s="6"/>
      <c r="U9" s="6"/>
      <c r="V9" s="6"/>
      <c r="W9" s="6"/>
      <c r="X9" s="6"/>
      <c r="Y9" s="6"/>
      <c r="Z9" s="6"/>
    </row>
    <row r="10" spans="1:26" ht="21.75" customHeight="1">
      <c r="A10" s="476"/>
      <c r="B10" s="497"/>
      <c r="C10" s="34"/>
      <c r="D10" s="19"/>
      <c r="E10" s="11"/>
      <c r="F10" s="260">
        <f t="shared" si="0"/>
        <v>0</v>
      </c>
      <c r="G10" s="33"/>
      <c r="H10" s="18"/>
      <c r="I10" s="179">
        <f t="shared" si="1"/>
        <v>0</v>
      </c>
      <c r="J10" s="254"/>
      <c r="K10" s="254"/>
      <c r="L10" s="254"/>
      <c r="M10" s="254"/>
      <c r="N10" s="254"/>
      <c r="O10" s="254"/>
      <c r="P10" s="254"/>
      <c r="Q10" s="6"/>
      <c r="R10" s="6"/>
      <c r="S10" s="6"/>
      <c r="T10" s="6"/>
      <c r="U10" s="6"/>
      <c r="V10" s="6"/>
      <c r="W10" s="6"/>
      <c r="X10" s="6"/>
      <c r="Y10" s="6"/>
      <c r="Z10" s="6"/>
    </row>
    <row r="11" spans="1:26" ht="21.75" customHeight="1">
      <c r="A11" s="476"/>
      <c r="B11" s="497"/>
      <c r="C11" s="34"/>
      <c r="D11" s="19"/>
      <c r="E11" s="11"/>
      <c r="F11" s="260">
        <f t="shared" si="0"/>
        <v>0</v>
      </c>
      <c r="G11" s="33"/>
      <c r="H11" s="18"/>
      <c r="I11" s="179">
        <f t="shared" si="1"/>
        <v>0</v>
      </c>
      <c r="J11" s="254"/>
      <c r="K11" s="254"/>
      <c r="L11" s="254"/>
      <c r="M11" s="254"/>
      <c r="N11" s="254"/>
      <c r="O11" s="254"/>
      <c r="P11" s="254"/>
      <c r="Q11" s="6"/>
      <c r="R11" s="6"/>
      <c r="S11" s="6"/>
      <c r="T11" s="6"/>
      <c r="U11" s="6"/>
      <c r="V11" s="6"/>
      <c r="W11" s="6"/>
      <c r="X11" s="6"/>
      <c r="Y11" s="6"/>
      <c r="Z11" s="6"/>
    </row>
    <row r="12" spans="1:26" ht="21.75" customHeight="1">
      <c r="A12" s="476"/>
      <c r="B12" s="497"/>
      <c r="C12" s="34"/>
      <c r="D12" s="19"/>
      <c r="E12" s="11"/>
      <c r="F12" s="260">
        <f t="shared" si="0"/>
        <v>0</v>
      </c>
      <c r="G12" s="33"/>
      <c r="H12" s="18"/>
      <c r="I12" s="179">
        <f t="shared" si="1"/>
        <v>0</v>
      </c>
      <c r="J12" s="254"/>
      <c r="K12" s="254"/>
      <c r="L12" s="254"/>
      <c r="M12" s="254"/>
      <c r="N12" s="254"/>
      <c r="O12" s="254"/>
      <c r="P12" s="254"/>
      <c r="Q12" s="6"/>
      <c r="R12" s="6"/>
      <c r="S12" s="6"/>
      <c r="T12" s="6"/>
      <c r="U12" s="6"/>
      <c r="V12" s="6"/>
      <c r="W12" s="6"/>
      <c r="X12" s="6"/>
      <c r="Y12" s="6"/>
      <c r="Z12" s="6"/>
    </row>
    <row r="13" spans="1:26" ht="21.75" customHeight="1">
      <c r="A13" s="476"/>
      <c r="B13" s="497"/>
      <c r="C13" s="34"/>
      <c r="D13" s="19"/>
      <c r="E13" s="11"/>
      <c r="F13" s="260">
        <f t="shared" si="0"/>
        <v>0</v>
      </c>
      <c r="G13" s="33"/>
      <c r="H13" s="18"/>
      <c r="I13" s="179">
        <f t="shared" si="1"/>
        <v>0</v>
      </c>
      <c r="J13" s="254"/>
      <c r="K13" s="254"/>
      <c r="L13" s="254"/>
      <c r="M13" s="254"/>
      <c r="N13" s="254"/>
      <c r="O13" s="254"/>
      <c r="P13" s="254"/>
      <c r="Q13" s="6"/>
      <c r="R13" s="6"/>
      <c r="S13" s="6"/>
      <c r="T13" s="6"/>
      <c r="U13" s="6"/>
      <c r="V13" s="6"/>
      <c r="W13" s="6"/>
      <c r="X13" s="6"/>
      <c r="Y13" s="6"/>
      <c r="Z13" s="6"/>
    </row>
    <row r="14" spans="1:26" ht="21.75" customHeight="1">
      <c r="A14" s="476"/>
      <c r="B14" s="497"/>
      <c r="C14" s="34"/>
      <c r="D14" s="19"/>
      <c r="E14" s="11"/>
      <c r="F14" s="260">
        <f t="shared" si="0"/>
        <v>0</v>
      </c>
      <c r="G14" s="33"/>
      <c r="H14" s="18"/>
      <c r="I14" s="179">
        <f t="shared" si="1"/>
        <v>0</v>
      </c>
      <c r="J14" s="254"/>
      <c r="K14" s="254"/>
      <c r="L14" s="254"/>
      <c r="M14" s="254"/>
      <c r="N14" s="254"/>
      <c r="O14" s="254"/>
      <c r="P14" s="254"/>
      <c r="Q14" s="6"/>
      <c r="R14" s="6"/>
      <c r="S14" s="6"/>
      <c r="T14" s="6"/>
      <c r="U14" s="6"/>
      <c r="V14" s="6"/>
      <c r="W14" s="6"/>
      <c r="X14" s="6"/>
      <c r="Y14" s="6"/>
      <c r="Z14" s="6"/>
    </row>
    <row r="15" spans="1:26" ht="21.75" customHeight="1">
      <c r="A15" s="476"/>
      <c r="B15" s="497"/>
      <c r="C15" s="34"/>
      <c r="D15" s="19"/>
      <c r="E15" s="11"/>
      <c r="F15" s="260">
        <f t="shared" si="0"/>
        <v>0</v>
      </c>
      <c r="G15" s="33"/>
      <c r="H15" s="18"/>
      <c r="I15" s="179">
        <f t="shared" si="1"/>
        <v>0</v>
      </c>
      <c r="J15" s="254"/>
      <c r="K15" s="254"/>
      <c r="L15" s="254"/>
      <c r="M15" s="254"/>
      <c r="N15" s="254"/>
      <c r="O15" s="254"/>
      <c r="P15" s="254"/>
      <c r="Q15" s="6"/>
      <c r="R15" s="6"/>
      <c r="S15" s="6"/>
      <c r="T15" s="6"/>
      <c r="U15" s="6"/>
      <c r="V15" s="6"/>
      <c r="W15" s="6"/>
      <c r="X15" s="6"/>
      <c r="Y15" s="6"/>
      <c r="Z15" s="6"/>
    </row>
    <row r="16" spans="1:26" ht="21.75" customHeight="1">
      <c r="A16" s="476"/>
      <c r="B16" s="497"/>
      <c r="C16" s="34"/>
      <c r="D16" s="19"/>
      <c r="E16" s="11"/>
      <c r="F16" s="260">
        <f t="shared" si="0"/>
        <v>0</v>
      </c>
      <c r="G16" s="33"/>
      <c r="H16" s="18"/>
      <c r="I16" s="179">
        <f t="shared" si="1"/>
        <v>0</v>
      </c>
      <c r="J16" s="254"/>
      <c r="K16" s="254"/>
      <c r="L16" s="254"/>
      <c r="M16" s="254" t="s">
        <v>268</v>
      </c>
      <c r="N16" s="254"/>
      <c r="O16" s="254"/>
      <c r="P16" s="254"/>
      <c r="Q16" s="6"/>
      <c r="R16" s="6"/>
      <c r="S16" s="6"/>
      <c r="T16" s="6"/>
      <c r="U16" s="6"/>
      <c r="V16" s="6"/>
      <c r="W16" s="6"/>
      <c r="X16" s="6"/>
      <c r="Y16" s="6"/>
      <c r="Z16" s="6"/>
    </row>
    <row r="17" spans="1:26" ht="21.75" customHeight="1">
      <c r="A17" s="476"/>
      <c r="B17" s="497"/>
      <c r="C17" s="34"/>
      <c r="D17" s="19"/>
      <c r="E17" s="11"/>
      <c r="F17" s="260">
        <f t="shared" si="0"/>
        <v>0</v>
      </c>
      <c r="G17" s="33"/>
      <c r="H17" s="18"/>
      <c r="I17" s="179">
        <f t="shared" si="1"/>
        <v>0</v>
      </c>
      <c r="J17" s="254"/>
      <c r="K17" s="254"/>
      <c r="L17" s="254"/>
      <c r="M17" s="254"/>
      <c r="N17" s="254"/>
      <c r="O17" s="254"/>
      <c r="P17" s="254"/>
      <c r="Q17" s="6"/>
      <c r="R17" s="6"/>
      <c r="S17" s="6"/>
      <c r="T17" s="6"/>
      <c r="U17" s="6"/>
      <c r="V17" s="6"/>
      <c r="W17" s="6"/>
      <c r="X17" s="6"/>
      <c r="Y17" s="6"/>
      <c r="Z17" s="6"/>
    </row>
    <row r="18" spans="1:26" ht="21.75" customHeight="1">
      <c r="A18" s="476"/>
      <c r="B18" s="497"/>
      <c r="C18" s="34"/>
      <c r="D18" s="19"/>
      <c r="E18" s="11"/>
      <c r="F18" s="263">
        <f t="shared" si="0"/>
        <v>0</v>
      </c>
      <c r="G18" s="32"/>
      <c r="H18" s="16"/>
      <c r="I18" s="182">
        <f t="shared" si="1"/>
        <v>0</v>
      </c>
      <c r="J18" s="254"/>
      <c r="K18" s="254"/>
      <c r="L18" s="254"/>
      <c r="M18" s="254"/>
      <c r="N18" s="254"/>
      <c r="O18" s="254"/>
      <c r="P18" s="254"/>
      <c r="Q18" s="6"/>
      <c r="R18" s="6"/>
      <c r="S18" s="6"/>
      <c r="T18" s="6"/>
      <c r="U18" s="6"/>
      <c r="V18" s="6"/>
      <c r="W18" s="6"/>
      <c r="X18" s="6"/>
      <c r="Y18" s="6"/>
      <c r="Z18" s="6"/>
    </row>
    <row r="19" spans="1:26" ht="15.75" customHeight="1" thickBot="1">
      <c r="A19" s="23"/>
      <c r="B19" s="24"/>
      <c r="C19" s="467" t="s">
        <v>122</v>
      </c>
      <c r="D19" s="468"/>
      <c r="E19" s="468"/>
      <c r="F19" s="25">
        <f>SUM(F6:F18)</f>
        <v>0</v>
      </c>
      <c r="G19" s="468" t="s">
        <v>123</v>
      </c>
      <c r="H19" s="468"/>
      <c r="I19" s="25">
        <f>SUM(I6:I18)</f>
        <v>0</v>
      </c>
      <c r="J19" s="255"/>
      <c r="K19" s="255"/>
      <c r="L19" s="255"/>
      <c r="M19" s="255"/>
      <c r="N19" s="255"/>
      <c r="O19" s="255"/>
      <c r="P19" s="255"/>
      <c r="Q19" s="7"/>
      <c r="R19" s="7"/>
      <c r="S19" s="7"/>
      <c r="T19" s="7"/>
      <c r="U19" s="7"/>
      <c r="V19" s="7"/>
      <c r="W19" s="7"/>
      <c r="X19" s="7"/>
      <c r="Y19" s="7"/>
      <c r="Z19" s="7"/>
    </row>
    <row r="20" spans="1:26" ht="20.149999999999999" customHeight="1" thickBot="1">
      <c r="A20" s="469" t="s">
        <v>125</v>
      </c>
      <c r="B20" s="470"/>
      <c r="C20" s="470"/>
      <c r="D20" s="470"/>
      <c r="E20" s="470"/>
      <c r="F20" s="470"/>
      <c r="G20" s="470"/>
      <c r="H20" s="470"/>
      <c r="I20" s="26">
        <f>SUM(I19,F19)</f>
        <v>0</v>
      </c>
      <c r="J20" s="255"/>
      <c r="K20" s="255"/>
      <c r="L20" s="255"/>
      <c r="M20" s="255"/>
      <c r="N20" s="255"/>
      <c r="O20" s="255"/>
      <c r="P20" s="255"/>
      <c r="Q20" s="7"/>
      <c r="R20" s="7"/>
      <c r="S20" s="7"/>
      <c r="T20" s="7"/>
      <c r="U20" s="7"/>
      <c r="V20" s="7"/>
      <c r="W20" s="7"/>
      <c r="X20" s="7"/>
      <c r="Y20" s="7"/>
      <c r="Z20" s="7"/>
    </row>
    <row r="21" spans="1:26" ht="36" customHeight="1" thickBot="1">
      <c r="A21" s="492" t="s">
        <v>214</v>
      </c>
      <c r="B21" s="493"/>
      <c r="C21" s="493"/>
      <c r="D21" s="493"/>
      <c r="E21" s="493"/>
      <c r="F21" s="493"/>
      <c r="G21" s="493"/>
      <c r="H21" s="493"/>
      <c r="I21" s="494"/>
      <c r="J21" s="255"/>
      <c r="K21" s="255"/>
      <c r="L21" s="255"/>
      <c r="M21" s="255"/>
      <c r="N21" s="255"/>
      <c r="O21" s="255"/>
      <c r="P21" s="255"/>
      <c r="Q21" s="7"/>
      <c r="R21" s="7"/>
      <c r="S21" s="7"/>
      <c r="T21" s="7"/>
      <c r="U21" s="7"/>
      <c r="V21" s="7"/>
      <c r="W21" s="7"/>
      <c r="X21" s="7"/>
      <c r="Y21" s="7"/>
      <c r="Z21" s="7"/>
    </row>
    <row r="22" spans="1:26" ht="15.5">
      <c r="A22" s="503" t="s">
        <v>93</v>
      </c>
      <c r="B22" s="504"/>
      <c r="C22" s="505" t="s">
        <v>91</v>
      </c>
      <c r="D22" s="506"/>
      <c r="E22" s="506"/>
      <c r="F22" s="507"/>
      <c r="G22" s="508" t="s">
        <v>92</v>
      </c>
      <c r="H22" s="506"/>
      <c r="I22" s="507"/>
      <c r="J22" s="256"/>
      <c r="K22" s="256"/>
      <c r="L22" s="256"/>
      <c r="M22" s="256"/>
      <c r="N22" s="256"/>
      <c r="O22" s="256"/>
      <c r="P22" s="256"/>
      <c r="Q22" s="8"/>
      <c r="R22" s="8"/>
      <c r="S22" s="8"/>
      <c r="T22" s="8"/>
      <c r="U22" s="8"/>
      <c r="V22" s="8"/>
      <c r="W22" s="8"/>
      <c r="X22" s="8"/>
      <c r="Y22" s="8"/>
      <c r="Z22" s="8"/>
    </row>
    <row r="23" spans="1:26" ht="15.75" customHeight="1" thickBot="1">
      <c r="A23" s="454"/>
      <c r="B23" s="500"/>
      <c r="C23" s="37" t="s">
        <v>129</v>
      </c>
      <c r="D23" s="27" t="s">
        <v>95</v>
      </c>
      <c r="E23" s="28" t="s">
        <v>61</v>
      </c>
      <c r="F23" s="38" t="s">
        <v>79</v>
      </c>
      <c r="G23" s="29" t="s">
        <v>96</v>
      </c>
      <c r="H23" s="30" t="s">
        <v>85</v>
      </c>
      <c r="I23" s="31" t="s">
        <v>79</v>
      </c>
      <c r="J23" s="256"/>
      <c r="K23" s="256"/>
      <c r="L23" s="256"/>
      <c r="M23" s="256"/>
      <c r="N23" s="256"/>
      <c r="O23" s="256"/>
      <c r="P23" s="256"/>
      <c r="Q23" s="8"/>
      <c r="R23" s="8"/>
      <c r="S23" s="8"/>
      <c r="T23" s="8"/>
      <c r="U23" s="8"/>
      <c r="V23" s="8"/>
      <c r="W23" s="8"/>
      <c r="X23" s="8"/>
      <c r="Y23" s="8"/>
      <c r="Z23" s="8"/>
    </row>
    <row r="24" spans="1:26" ht="21.75" customHeight="1">
      <c r="A24" s="471"/>
      <c r="B24" s="497"/>
      <c r="C24" s="39">
        <v>1</v>
      </c>
      <c r="D24" s="20"/>
      <c r="E24" s="12">
        <v>0</v>
      </c>
      <c r="F24" s="40">
        <f t="shared" ref="F24:F36" si="2">C24*E24</f>
        <v>0</v>
      </c>
      <c r="G24" s="35">
        <v>1</v>
      </c>
      <c r="H24" s="12">
        <v>0</v>
      </c>
      <c r="I24" s="264">
        <f>G24*H24</f>
        <v>0</v>
      </c>
      <c r="J24" s="252"/>
      <c r="K24" s="252"/>
      <c r="L24" s="252"/>
      <c r="M24" s="252"/>
      <c r="N24" s="252"/>
      <c r="O24" s="252"/>
      <c r="P24" s="252"/>
    </row>
    <row r="25" spans="1:26" ht="21.75" customHeight="1">
      <c r="A25" s="471"/>
      <c r="B25" s="497"/>
      <c r="C25" s="39"/>
      <c r="D25" s="20"/>
      <c r="E25" s="12"/>
      <c r="F25" s="40">
        <f t="shared" si="2"/>
        <v>0</v>
      </c>
      <c r="G25" s="35"/>
      <c r="H25" s="12"/>
      <c r="I25" s="206">
        <f t="shared" ref="I25:I36" si="3">G25*H25</f>
        <v>0</v>
      </c>
      <c r="J25" s="252"/>
      <c r="K25" s="252"/>
      <c r="L25" s="252"/>
      <c r="M25" s="252"/>
      <c r="N25" s="252"/>
      <c r="O25" s="252"/>
      <c r="P25" s="252"/>
    </row>
    <row r="26" spans="1:26" ht="21.75" customHeight="1">
      <c r="A26" s="471"/>
      <c r="B26" s="497"/>
      <c r="C26" s="39"/>
      <c r="D26" s="20"/>
      <c r="E26" s="12"/>
      <c r="F26" s="40">
        <f t="shared" si="2"/>
        <v>0</v>
      </c>
      <c r="G26" s="35"/>
      <c r="H26" s="12"/>
      <c r="I26" s="206">
        <f t="shared" si="3"/>
        <v>0</v>
      </c>
      <c r="J26" s="252"/>
      <c r="K26" s="252"/>
      <c r="L26" s="252"/>
      <c r="M26" s="252"/>
      <c r="N26" s="252"/>
      <c r="O26" s="252"/>
      <c r="P26" s="252"/>
    </row>
    <row r="27" spans="1:26" ht="21.75" customHeight="1">
      <c r="A27" s="471"/>
      <c r="B27" s="497"/>
      <c r="C27" s="39"/>
      <c r="D27" s="20"/>
      <c r="E27" s="12"/>
      <c r="F27" s="40">
        <f t="shared" si="2"/>
        <v>0</v>
      </c>
      <c r="G27" s="35"/>
      <c r="H27" s="12"/>
      <c r="I27" s="206">
        <f t="shared" si="3"/>
        <v>0</v>
      </c>
      <c r="J27" s="252"/>
      <c r="K27" s="252"/>
      <c r="L27" s="252"/>
      <c r="M27" s="252"/>
      <c r="N27" s="252"/>
      <c r="O27" s="252"/>
      <c r="P27" s="252"/>
    </row>
    <row r="28" spans="1:26" ht="21.75" customHeight="1">
      <c r="A28" s="471"/>
      <c r="B28" s="497"/>
      <c r="C28" s="39"/>
      <c r="D28" s="20"/>
      <c r="E28" s="12"/>
      <c r="F28" s="40">
        <f t="shared" si="2"/>
        <v>0</v>
      </c>
      <c r="G28" s="35"/>
      <c r="H28" s="12"/>
      <c r="I28" s="206">
        <f t="shared" si="3"/>
        <v>0</v>
      </c>
      <c r="J28" s="252"/>
      <c r="K28" s="252"/>
      <c r="L28" s="252"/>
      <c r="M28" s="252"/>
      <c r="N28" s="252"/>
      <c r="O28" s="252"/>
      <c r="P28" s="252"/>
    </row>
    <row r="29" spans="1:26" ht="21.75" customHeight="1">
      <c r="A29" s="471"/>
      <c r="B29" s="497"/>
      <c r="C29" s="39"/>
      <c r="D29" s="20"/>
      <c r="E29" s="12"/>
      <c r="F29" s="40">
        <f t="shared" si="2"/>
        <v>0</v>
      </c>
      <c r="G29" s="35"/>
      <c r="H29" s="12"/>
      <c r="I29" s="206">
        <f t="shared" si="3"/>
        <v>0</v>
      </c>
      <c r="J29" s="252"/>
      <c r="K29" s="252"/>
      <c r="L29" s="252"/>
      <c r="M29" s="252"/>
      <c r="N29" s="252"/>
      <c r="O29" s="252"/>
      <c r="P29" s="252"/>
    </row>
    <row r="30" spans="1:26" ht="21.75" customHeight="1">
      <c r="A30" s="471"/>
      <c r="B30" s="497"/>
      <c r="C30" s="39"/>
      <c r="D30" s="20"/>
      <c r="E30" s="12"/>
      <c r="F30" s="40">
        <f t="shared" si="2"/>
        <v>0</v>
      </c>
      <c r="G30" s="35"/>
      <c r="H30" s="12"/>
      <c r="I30" s="206">
        <f t="shared" si="3"/>
        <v>0</v>
      </c>
      <c r="J30" s="252"/>
      <c r="K30" s="252"/>
      <c r="L30" s="252"/>
      <c r="M30" s="252"/>
      <c r="N30" s="252"/>
      <c r="O30" s="252"/>
      <c r="P30" s="252"/>
    </row>
    <row r="31" spans="1:26" ht="21.75" customHeight="1">
      <c r="A31" s="471"/>
      <c r="B31" s="497"/>
      <c r="C31" s="39"/>
      <c r="D31" s="20"/>
      <c r="E31" s="12"/>
      <c r="F31" s="40">
        <f t="shared" si="2"/>
        <v>0</v>
      </c>
      <c r="G31" s="35"/>
      <c r="H31" s="12"/>
      <c r="I31" s="206">
        <f t="shared" si="3"/>
        <v>0</v>
      </c>
      <c r="J31" s="252"/>
      <c r="K31" s="252"/>
      <c r="L31" s="252"/>
      <c r="M31" s="252"/>
      <c r="N31" s="252"/>
      <c r="O31" s="252"/>
      <c r="P31" s="252"/>
    </row>
    <row r="32" spans="1:26" ht="21.75" customHeight="1">
      <c r="A32" s="471"/>
      <c r="B32" s="497"/>
      <c r="C32" s="39"/>
      <c r="D32" s="20"/>
      <c r="E32" s="12"/>
      <c r="F32" s="40">
        <f t="shared" si="2"/>
        <v>0</v>
      </c>
      <c r="G32" s="35"/>
      <c r="H32" s="12"/>
      <c r="I32" s="206">
        <f t="shared" si="3"/>
        <v>0</v>
      </c>
      <c r="J32" s="252"/>
      <c r="K32" s="252"/>
      <c r="L32" s="252"/>
      <c r="M32" s="252"/>
      <c r="N32" s="252"/>
      <c r="O32" s="252"/>
      <c r="P32" s="252"/>
    </row>
    <row r="33" spans="1:16" ht="21.75" customHeight="1">
      <c r="A33" s="471"/>
      <c r="B33" s="497"/>
      <c r="C33" s="39"/>
      <c r="D33" s="20"/>
      <c r="E33" s="12"/>
      <c r="F33" s="40">
        <f t="shared" si="2"/>
        <v>0</v>
      </c>
      <c r="G33" s="35"/>
      <c r="H33" s="12"/>
      <c r="I33" s="206">
        <f t="shared" si="3"/>
        <v>0</v>
      </c>
      <c r="J33" s="252"/>
      <c r="K33" s="252"/>
      <c r="L33" s="252"/>
      <c r="M33" s="252"/>
      <c r="N33" s="252"/>
      <c r="O33" s="252"/>
      <c r="P33" s="252"/>
    </row>
    <row r="34" spans="1:16" ht="21.75" customHeight="1">
      <c r="A34" s="471"/>
      <c r="B34" s="497"/>
      <c r="C34" s="39"/>
      <c r="D34" s="20"/>
      <c r="E34" s="12"/>
      <c r="F34" s="40">
        <f t="shared" si="2"/>
        <v>0</v>
      </c>
      <c r="G34" s="35"/>
      <c r="H34" s="12"/>
      <c r="I34" s="206">
        <f t="shared" si="3"/>
        <v>0</v>
      </c>
      <c r="J34" s="252"/>
      <c r="K34" s="252"/>
      <c r="L34" s="252"/>
      <c r="M34" s="252"/>
      <c r="N34" s="252"/>
      <c r="O34" s="252"/>
      <c r="P34" s="252"/>
    </row>
    <row r="35" spans="1:16" ht="21.75" customHeight="1">
      <c r="A35" s="471"/>
      <c r="B35" s="497"/>
      <c r="C35" s="39"/>
      <c r="D35" s="20"/>
      <c r="E35" s="12"/>
      <c r="F35" s="40">
        <f t="shared" si="2"/>
        <v>0</v>
      </c>
      <c r="G35" s="35"/>
      <c r="H35" s="12"/>
      <c r="I35" s="206">
        <f t="shared" si="3"/>
        <v>0</v>
      </c>
      <c r="J35" s="252"/>
      <c r="K35" s="252"/>
      <c r="L35" s="252"/>
      <c r="M35" s="252"/>
      <c r="N35" s="252"/>
      <c r="O35" s="252"/>
      <c r="P35" s="252"/>
    </row>
    <row r="36" spans="1:16" ht="21.75" customHeight="1">
      <c r="A36" s="471"/>
      <c r="B36" s="497"/>
      <c r="C36" s="41"/>
      <c r="D36" s="21"/>
      <c r="E36" s="13"/>
      <c r="F36" s="42">
        <f t="shared" si="2"/>
        <v>0</v>
      </c>
      <c r="G36" s="36"/>
      <c r="H36" s="13"/>
      <c r="I36" s="265">
        <f t="shared" si="3"/>
        <v>0</v>
      </c>
      <c r="J36" s="252"/>
      <c r="K36" s="252"/>
      <c r="L36" s="252"/>
      <c r="M36" s="252"/>
      <c r="N36" s="252"/>
      <c r="O36" s="252"/>
      <c r="P36" s="252"/>
    </row>
    <row r="37" spans="1:16" ht="15.75" customHeight="1" thickBot="1">
      <c r="A37" s="23"/>
      <c r="B37" s="24"/>
      <c r="C37" s="473" t="s">
        <v>122</v>
      </c>
      <c r="D37" s="474"/>
      <c r="E37" s="475"/>
      <c r="F37" s="266">
        <f>SUM(F24:F36)</f>
        <v>0</v>
      </c>
      <c r="G37" s="501" t="s">
        <v>123</v>
      </c>
      <c r="H37" s="502"/>
      <c r="I37" s="266">
        <f>SUM(I24:I36)</f>
        <v>0</v>
      </c>
      <c r="J37" s="252"/>
      <c r="K37" s="252"/>
      <c r="L37" s="252"/>
      <c r="M37" s="252"/>
      <c r="N37" s="252"/>
      <c r="O37" s="252"/>
      <c r="P37" s="252"/>
    </row>
    <row r="38" spans="1:16" ht="20.149999999999999" customHeight="1" thickBot="1">
      <c r="A38" s="469" t="s">
        <v>124</v>
      </c>
      <c r="B38" s="470"/>
      <c r="C38" s="470"/>
      <c r="D38" s="470"/>
      <c r="E38" s="470"/>
      <c r="F38" s="470"/>
      <c r="G38" s="470"/>
      <c r="H38" s="470"/>
      <c r="I38" s="267">
        <f>SUM(I37,F37)</f>
        <v>0</v>
      </c>
      <c r="J38" s="252"/>
      <c r="K38" s="252"/>
      <c r="L38" s="252"/>
      <c r="M38" s="252"/>
      <c r="N38" s="252"/>
      <c r="O38" s="252"/>
      <c r="P38" s="252"/>
    </row>
    <row r="39" spans="1:16" ht="15.75" customHeight="1">
      <c r="A39" s="252"/>
      <c r="B39" s="252"/>
      <c r="C39" s="252"/>
      <c r="D39" s="252"/>
      <c r="E39" s="257"/>
      <c r="F39" s="252"/>
      <c r="G39" s="252"/>
      <c r="H39" s="252"/>
      <c r="I39" s="252"/>
      <c r="J39" s="252"/>
      <c r="K39" s="252"/>
      <c r="L39" s="252"/>
      <c r="M39" s="252"/>
      <c r="N39" s="252"/>
      <c r="O39" s="252"/>
      <c r="P39" s="252"/>
    </row>
    <row r="40" spans="1:16" ht="15.75" customHeight="1">
      <c r="A40" s="252"/>
      <c r="B40" s="252"/>
      <c r="C40" s="252"/>
      <c r="D40" s="252"/>
      <c r="E40" s="257"/>
      <c r="F40" s="252"/>
      <c r="G40" s="252"/>
      <c r="H40" s="252"/>
      <c r="I40" s="252"/>
      <c r="J40" s="252"/>
      <c r="K40" s="252"/>
      <c r="L40" s="252"/>
      <c r="M40" s="252"/>
      <c r="N40" s="252"/>
      <c r="O40" s="252"/>
      <c r="P40" s="252"/>
    </row>
    <row r="41" spans="1:16" ht="15.75" customHeight="1">
      <c r="A41" s="252"/>
      <c r="B41" s="252"/>
      <c r="C41" s="252"/>
      <c r="D41" s="252"/>
      <c r="E41" s="257"/>
      <c r="F41" s="252"/>
      <c r="G41" s="252"/>
      <c r="H41" s="252"/>
      <c r="I41" s="252"/>
      <c r="J41" s="252"/>
      <c r="K41" s="252"/>
      <c r="L41" s="252"/>
      <c r="M41" s="252"/>
      <c r="N41" s="252"/>
      <c r="O41" s="252"/>
      <c r="P41" s="252"/>
    </row>
    <row r="42" spans="1:16" ht="15.75" customHeight="1">
      <c r="A42" s="252"/>
      <c r="B42" s="252"/>
      <c r="C42" s="252"/>
      <c r="D42" s="252"/>
      <c r="E42" s="257"/>
      <c r="F42" s="252"/>
      <c r="G42" s="252"/>
      <c r="H42" s="252"/>
      <c r="I42" s="252"/>
      <c r="J42" s="252"/>
      <c r="K42" s="252"/>
      <c r="L42" s="252"/>
      <c r="M42" s="252"/>
      <c r="N42" s="252"/>
      <c r="O42" s="252"/>
      <c r="P42" s="252"/>
    </row>
    <row r="43" spans="1:16" ht="15.75" customHeight="1">
      <c r="A43" s="252"/>
      <c r="B43" s="252"/>
      <c r="C43" s="252"/>
      <c r="D43" s="252"/>
      <c r="E43" s="257"/>
      <c r="F43" s="252"/>
      <c r="G43" s="252"/>
      <c r="H43" s="252"/>
      <c r="I43" s="252"/>
      <c r="J43" s="252"/>
      <c r="K43" s="252"/>
      <c r="L43" s="252"/>
      <c r="M43" s="252"/>
      <c r="N43" s="252"/>
      <c r="O43" s="252"/>
      <c r="P43" s="252"/>
    </row>
    <row r="44" spans="1:16" ht="15.75" customHeight="1">
      <c r="A44" s="252"/>
      <c r="B44" s="252"/>
      <c r="C44" s="252"/>
      <c r="D44" s="252"/>
      <c r="E44" s="257"/>
      <c r="F44" s="252"/>
      <c r="G44" s="252"/>
      <c r="H44" s="252"/>
      <c r="I44" s="252"/>
      <c r="J44" s="252"/>
      <c r="K44" s="252"/>
      <c r="L44" s="252"/>
      <c r="M44" s="252"/>
      <c r="N44" s="252"/>
      <c r="O44" s="252"/>
      <c r="P44" s="252"/>
    </row>
    <row r="45" spans="1:16" ht="15.75" customHeight="1">
      <c r="A45" s="252"/>
      <c r="B45" s="252"/>
      <c r="C45" s="252"/>
      <c r="D45" s="252"/>
      <c r="E45" s="257"/>
      <c r="F45" s="252"/>
      <c r="G45" s="252"/>
      <c r="H45" s="252"/>
      <c r="I45" s="252"/>
      <c r="J45" s="252"/>
      <c r="K45" s="252"/>
      <c r="L45" s="252"/>
      <c r="M45" s="252"/>
      <c r="N45" s="252"/>
      <c r="O45" s="252"/>
      <c r="P45" s="252"/>
    </row>
    <row r="46" spans="1:16" ht="15.75" customHeight="1">
      <c r="A46" s="252"/>
      <c r="B46" s="252"/>
      <c r="C46" s="252"/>
      <c r="D46" s="252"/>
      <c r="E46" s="257"/>
      <c r="F46" s="252"/>
      <c r="G46" s="252"/>
      <c r="H46" s="252"/>
      <c r="I46" s="252"/>
      <c r="J46" s="252"/>
      <c r="K46" s="252"/>
      <c r="L46" s="252"/>
      <c r="M46" s="252"/>
      <c r="N46" s="252"/>
      <c r="O46" s="252"/>
      <c r="P46" s="252"/>
    </row>
    <row r="47" spans="1:16" ht="15.75" customHeight="1">
      <c r="A47" s="252"/>
      <c r="B47" s="252"/>
      <c r="C47" s="252"/>
      <c r="D47" s="252"/>
      <c r="E47" s="257"/>
      <c r="F47" s="252"/>
      <c r="G47" s="252"/>
      <c r="H47" s="252"/>
      <c r="I47" s="252"/>
      <c r="J47" s="252"/>
      <c r="K47" s="252"/>
      <c r="L47" s="252"/>
      <c r="M47" s="252"/>
      <c r="N47" s="252"/>
      <c r="O47" s="252"/>
      <c r="P47" s="252"/>
    </row>
    <row r="48" spans="1:16" ht="15.75" customHeight="1">
      <c r="A48" s="252"/>
      <c r="B48" s="252"/>
      <c r="C48" s="252"/>
      <c r="D48" s="252"/>
      <c r="E48" s="257"/>
      <c r="F48" s="252"/>
      <c r="G48" s="252"/>
      <c r="H48" s="252"/>
      <c r="I48" s="252"/>
      <c r="J48" s="252"/>
      <c r="K48" s="252"/>
      <c r="L48" s="252"/>
      <c r="M48" s="252"/>
      <c r="N48" s="252"/>
      <c r="O48" s="252"/>
      <c r="P48" s="252"/>
    </row>
    <row r="49" spans="1:16" ht="15.75" customHeight="1">
      <c r="A49" s="252"/>
      <c r="B49" s="252"/>
      <c r="C49" s="252"/>
      <c r="D49" s="252"/>
      <c r="E49" s="257"/>
      <c r="F49" s="252"/>
      <c r="G49" s="252"/>
      <c r="H49" s="252"/>
      <c r="I49" s="252"/>
      <c r="J49" s="252"/>
      <c r="K49" s="252"/>
      <c r="L49" s="252"/>
      <c r="M49" s="252"/>
      <c r="N49" s="252"/>
      <c r="O49" s="252"/>
      <c r="P49" s="252"/>
    </row>
    <row r="50" spans="1:16" ht="15.75" customHeight="1">
      <c r="A50" s="252"/>
      <c r="B50" s="252"/>
      <c r="C50" s="252"/>
      <c r="D50" s="252"/>
      <c r="E50" s="257"/>
      <c r="F50" s="252"/>
      <c r="G50" s="252"/>
      <c r="H50" s="252"/>
      <c r="I50" s="252"/>
      <c r="J50" s="252"/>
      <c r="K50" s="252"/>
      <c r="L50" s="252"/>
      <c r="M50" s="252"/>
      <c r="N50" s="252"/>
      <c r="O50" s="252"/>
      <c r="P50" s="252"/>
    </row>
    <row r="51" spans="1:16" ht="15.75" customHeight="1">
      <c r="A51" s="252"/>
      <c r="B51" s="252"/>
      <c r="C51" s="252"/>
      <c r="D51" s="252"/>
      <c r="E51" s="257"/>
      <c r="F51" s="252"/>
      <c r="G51" s="252"/>
      <c r="H51" s="252"/>
      <c r="I51" s="252"/>
      <c r="J51" s="252"/>
      <c r="K51" s="252"/>
      <c r="L51" s="252"/>
      <c r="M51" s="252"/>
      <c r="N51" s="252"/>
      <c r="O51" s="252"/>
      <c r="P51" s="252"/>
    </row>
    <row r="52" spans="1:16" ht="15.75" customHeight="1">
      <c r="A52" s="252"/>
      <c r="B52" s="252"/>
      <c r="C52" s="252"/>
      <c r="D52" s="252"/>
      <c r="E52" s="257"/>
      <c r="F52" s="252"/>
      <c r="G52" s="252"/>
      <c r="H52" s="252"/>
      <c r="I52" s="252"/>
      <c r="J52" s="252"/>
      <c r="K52" s="252"/>
      <c r="L52" s="252"/>
      <c r="M52" s="252"/>
      <c r="N52" s="252"/>
      <c r="O52" s="252"/>
      <c r="P52" s="252"/>
    </row>
    <row r="53" spans="1:16" ht="15.75" customHeight="1">
      <c r="A53" s="252"/>
      <c r="B53" s="252"/>
      <c r="C53" s="252"/>
      <c r="D53" s="252"/>
      <c r="E53" s="257"/>
      <c r="F53" s="252"/>
      <c r="G53" s="252"/>
      <c r="H53" s="252"/>
      <c r="I53" s="252"/>
      <c r="J53" s="252"/>
      <c r="K53" s="252"/>
      <c r="L53" s="252"/>
      <c r="M53" s="252"/>
      <c r="N53" s="252"/>
      <c r="O53" s="252"/>
      <c r="P53" s="252"/>
    </row>
    <row r="54" spans="1:16" ht="15.75" customHeight="1">
      <c r="A54" s="252"/>
      <c r="B54" s="252"/>
      <c r="C54" s="252"/>
      <c r="D54" s="252"/>
      <c r="E54" s="257"/>
      <c r="F54" s="252"/>
      <c r="G54" s="252"/>
      <c r="H54" s="252"/>
      <c r="I54" s="252"/>
      <c r="J54" s="252"/>
      <c r="K54" s="252"/>
      <c r="L54" s="252"/>
      <c r="M54" s="252"/>
      <c r="N54" s="252"/>
      <c r="O54" s="252"/>
      <c r="P54" s="252"/>
    </row>
    <row r="55" spans="1:16" ht="15.75" customHeight="1">
      <c r="E55" s="9"/>
    </row>
    <row r="56" spans="1:16" ht="15.75" customHeight="1">
      <c r="E56" s="9"/>
    </row>
    <row r="57" spans="1:16" ht="15.75" customHeight="1">
      <c r="E57" s="9"/>
    </row>
    <row r="58" spans="1:16" ht="15.75" customHeight="1">
      <c r="E58" s="9"/>
    </row>
    <row r="59" spans="1:16" ht="15.75" customHeight="1">
      <c r="E59" s="9"/>
    </row>
    <row r="60" spans="1:16" ht="15.75" customHeight="1">
      <c r="E60" s="9"/>
    </row>
    <row r="61" spans="1:16" ht="15.75" customHeight="1">
      <c r="E61" s="9"/>
    </row>
    <row r="62" spans="1:16" ht="15.75" customHeight="1">
      <c r="E62" s="9"/>
    </row>
    <row r="63" spans="1:16" ht="15.75" customHeight="1">
      <c r="E63" s="9"/>
    </row>
    <row r="64" spans="1:16"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6:B6"/>
    <mergeCell ref="A1:F2"/>
    <mergeCell ref="A3:I3"/>
    <mergeCell ref="A4:B5"/>
    <mergeCell ref="C4:F4"/>
    <mergeCell ref="G4:I4"/>
    <mergeCell ref="A18:B18"/>
    <mergeCell ref="A7:B7"/>
    <mergeCell ref="A8:B8"/>
    <mergeCell ref="A9:B9"/>
    <mergeCell ref="A10:B10"/>
    <mergeCell ref="A11:B11"/>
    <mergeCell ref="A12:B12"/>
    <mergeCell ref="A13:B13"/>
    <mergeCell ref="A14:B14"/>
    <mergeCell ref="A15:B15"/>
    <mergeCell ref="A16:B16"/>
    <mergeCell ref="A17:B17"/>
    <mergeCell ref="A29:B29"/>
    <mergeCell ref="C19:E19"/>
    <mergeCell ref="G19:H19"/>
    <mergeCell ref="A20:H20"/>
    <mergeCell ref="A21:I21"/>
    <mergeCell ref="A22:B23"/>
    <mergeCell ref="C22:F22"/>
    <mergeCell ref="G22:I22"/>
    <mergeCell ref="A24:B24"/>
    <mergeCell ref="A25:B25"/>
    <mergeCell ref="A26:B26"/>
    <mergeCell ref="A27:B27"/>
    <mergeCell ref="A28:B28"/>
    <mergeCell ref="A36:B36"/>
    <mergeCell ref="C37:E37"/>
    <mergeCell ref="G37:H37"/>
    <mergeCell ref="A38:H38"/>
    <mergeCell ref="A30:B30"/>
    <mergeCell ref="A31:B31"/>
    <mergeCell ref="A32:B32"/>
    <mergeCell ref="A33:B33"/>
    <mergeCell ref="A34:B34"/>
    <mergeCell ref="A35:B35"/>
  </mergeCells>
  <conditionalFormatting sqref="G2:H2">
    <cfRule type="expression" dxfId="0" priority="1" stopIfTrue="1">
      <formula>"MM/DD/YY"</formula>
    </cfRule>
  </conditionalFormatting>
  <printOptions horizontalCentered="1"/>
  <pageMargins left="0.5" right="0.5" top="1" bottom="1" header="0" footer="0"/>
  <pageSetup scale="79" fitToHeight="0" orientation="portrait" r:id="rId1"/>
  <drawing r:id="rId2"/>
  <legacyDrawing r:id="rId3"/>
  <controls>
    <mc:AlternateContent xmlns:mc="http://schemas.openxmlformats.org/markup-compatibility/2006">
      <mc:Choice Requires="x14">
        <control shapeId="29697" r:id="rId4" name="CommandButton1">
          <controlPr defaultSize="0" autoLine="0" altText="Add A Row Command Button" r:id="rId5">
            <anchor moveWithCells="1">
              <from>
                <xdr:col>9</xdr:col>
                <xdr:colOff>266700</xdr:colOff>
                <xdr:row>16</xdr:row>
                <xdr:rowOff>266700</xdr:rowOff>
              </from>
              <to>
                <xdr:col>11</xdr:col>
                <xdr:colOff>393700</xdr:colOff>
                <xdr:row>18</xdr:row>
                <xdr:rowOff>6350</xdr:rowOff>
              </to>
            </anchor>
          </controlPr>
        </control>
      </mc:Choice>
      <mc:Fallback>
        <control shapeId="29697" r:id="rId4" name="CommandButton1"/>
      </mc:Fallback>
    </mc:AlternateContent>
  </controls>
</worksheet>
</file>

<file path=docMetadata/LabelInfo.xml><?xml version="1.0" encoding="utf-8"?>
<clbl:labelList xmlns:clbl="http://schemas.microsoft.com/office/2020/mipLabelMetadata">
  <clbl:label id="{40f5b659-45e0-406d-ada9-08e0b284cfc4}" enabled="1" method="Standard" siteId="{e95f1b23-abaf-45ee-821d-b7ab251ab3b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54</vt:i4>
      </vt:variant>
    </vt:vector>
  </HeadingPairs>
  <TitlesOfParts>
    <vt:vector size="84" baseType="lpstr">
      <vt:lpstr>TICS </vt:lpstr>
      <vt:lpstr>INSTRUCTIONS</vt:lpstr>
      <vt:lpstr>SHELL</vt:lpstr>
      <vt:lpstr>INPUT</vt:lpstr>
      <vt:lpstr>BSAC</vt:lpstr>
      <vt:lpstr>1</vt:lpstr>
      <vt:lpstr>2</vt:lpstr>
      <vt:lpstr>3</vt:lpstr>
      <vt:lpstr>4</vt:lpstr>
      <vt:lpstr>5</vt:lpstr>
      <vt:lpstr>6</vt:lpstr>
      <vt:lpstr>7</vt:lpstr>
      <vt:lpstr>8</vt:lpstr>
      <vt:lpstr>9</vt:lpstr>
      <vt:lpstr>10</vt:lpstr>
      <vt:lpstr>11</vt:lpstr>
      <vt:lpstr>12</vt:lpstr>
      <vt:lpstr>13</vt:lpstr>
      <vt:lpstr>14</vt:lpstr>
      <vt:lpstr>21</vt:lpstr>
      <vt:lpstr>22</vt:lpstr>
      <vt:lpstr>23</vt:lpstr>
      <vt:lpstr>26.1</vt:lpstr>
      <vt:lpstr>26.2</vt:lpstr>
      <vt:lpstr>27</vt:lpstr>
      <vt:lpstr>28.1</vt:lpstr>
      <vt:lpstr>28.2</vt:lpstr>
      <vt:lpstr>31</vt:lpstr>
      <vt:lpstr>32</vt:lpstr>
      <vt:lpstr>33</vt:lpstr>
      <vt:lpstr>'1'!Print_Area</vt:lpstr>
      <vt:lpstr>'10'!Print_Area</vt:lpstr>
      <vt:lpstr>'11'!Print_Area</vt:lpstr>
      <vt:lpstr>'12'!Print_Area</vt:lpstr>
      <vt:lpstr>'13'!Print_Area</vt:lpstr>
      <vt:lpstr>'14'!Print_Area</vt:lpstr>
      <vt:lpstr>'2'!Print_Area</vt:lpstr>
      <vt:lpstr>'21'!Print_Area</vt:lpstr>
      <vt:lpstr>'22'!Print_Area</vt:lpstr>
      <vt:lpstr>'23'!Print_Area</vt:lpstr>
      <vt:lpstr>'26.1'!Print_Area</vt:lpstr>
      <vt:lpstr>'26.2'!Print_Area</vt:lpstr>
      <vt:lpstr>'27'!Print_Area</vt:lpstr>
      <vt:lpstr>'28.1'!Print_Area</vt:lpstr>
      <vt:lpstr>'28.2'!Print_Area</vt:lpstr>
      <vt:lpstr>'3'!Print_Area</vt:lpstr>
      <vt:lpstr>'31'!Print_Area</vt:lpstr>
      <vt:lpstr>'32'!Print_Area</vt:lpstr>
      <vt:lpstr>'33'!Print_Area</vt:lpstr>
      <vt:lpstr>'4'!Print_Area</vt:lpstr>
      <vt:lpstr>'5'!Print_Area</vt:lpstr>
      <vt:lpstr>'6'!Print_Area</vt:lpstr>
      <vt:lpstr>'7'!Print_Area</vt:lpstr>
      <vt:lpstr>'8'!Print_Area</vt:lpstr>
      <vt:lpstr>'9'!Print_Area</vt:lpstr>
      <vt:lpstr>BSAC!Print_Area</vt:lpstr>
      <vt:lpstr>SHELL!Print_Area</vt:lpstr>
      <vt:lpstr>'TICS '!Print_Area</vt:lpstr>
      <vt:lpstr>'1'!Print_Titles</vt:lpstr>
      <vt:lpstr>'10'!Print_Titles</vt:lpstr>
      <vt:lpstr>'11'!Print_Titles</vt:lpstr>
      <vt:lpstr>'12'!Print_Titles</vt:lpstr>
      <vt:lpstr>'13'!Print_Titles</vt:lpstr>
      <vt:lpstr>'14'!Print_Titles</vt:lpstr>
      <vt:lpstr>'2'!Print_Titles</vt:lpstr>
      <vt:lpstr>'21'!Print_Titles</vt:lpstr>
      <vt:lpstr>'22'!Print_Titles</vt:lpstr>
      <vt:lpstr>'23'!Print_Titles</vt:lpstr>
      <vt:lpstr>'26.1'!Print_Titles</vt:lpstr>
      <vt:lpstr>'26.2'!Print_Titles</vt:lpstr>
      <vt:lpstr>'27'!Print_Titles</vt:lpstr>
      <vt:lpstr>'28.1'!Print_Titles</vt:lpstr>
      <vt:lpstr>'28.2'!Print_Titles</vt:lpstr>
      <vt:lpstr>'3'!Print_Titles</vt:lpstr>
      <vt:lpstr>'31'!Print_Titles</vt:lpstr>
      <vt:lpstr>'32'!Print_Titles</vt:lpstr>
      <vt:lpstr>'33'!Print_Titles</vt:lpstr>
      <vt:lpstr>'4'!Print_Titles</vt:lpstr>
      <vt:lpstr>'5'!Print_Titles</vt:lpstr>
      <vt:lpstr>'6'!Print_Titles</vt:lpstr>
      <vt:lpstr>'7'!Print_Titles</vt:lpstr>
      <vt:lpstr>'8'!Print_Titles</vt:lpstr>
      <vt:lpstr>'9'!Print_Titles</vt:lpstr>
      <vt:lpstr>BSAC!Print_Titles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StevenTFreund</dc:creator>
  <cp:lastModifiedBy>Correa Ochoa, Javier A. (Miami VA)</cp:lastModifiedBy>
  <cp:lastPrinted>2024-09-16T18:12:08Z</cp:lastPrinted>
  <dcterms:created xsi:type="dcterms:W3CDTF">2022-03-09T16:11:46Z</dcterms:created>
  <dcterms:modified xsi:type="dcterms:W3CDTF">2025-06-12T14:40:23Z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jorKey">
    <vt:lpwstr>0</vt:lpwstr>
  </property>
</Properties>
</file>